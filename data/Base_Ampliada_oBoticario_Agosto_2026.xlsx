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1a3510d06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220a19d02664230"/>
    <x:sheet xmlns:r="http://schemas.openxmlformats.org/officeDocument/2006/relationships" name="Base ampliada 64" sheetId="2" r:id="R8893c88c51b940cf"/>
    <x:sheet xmlns:r="http://schemas.openxmlformats.org/officeDocument/2006/relationships" name="Kits sugeridos" sheetId="3" r:id="Rdcd0baea44ff4a94"/>
    <x:sheet xmlns:r="http://schemas.openxmlformats.org/officeDocument/2006/relationships" name="Tipos y cobertura" sheetId="4" r:id="R0a631ddeb94e4c32"/>
    <x:sheet xmlns:r="http://schemas.openxmlformats.org/officeDocument/2006/relationships" name="Configuración" sheetId="5" r:id="Raed444780601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yyyy-mm-dd"/>
  </x:numFmts>
  <x:fonts count="4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54A51"/>
      <x:name val="Carlito"/>
    </x:font>
    <x:font>
      <x:i/>
      <x:sz val="11"/>
      <x:color rgb="FF6B44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6F78"/>
      </x:patternFill>
    </x:fill>
    <x:fill>
      <x:patternFill patternType="solid">
        <x:fgColor rgb="FFDCEFEF"/>
      </x:patternFill>
    </x:fill>
    <x:fill>
      <x:patternFill patternType="solid">
        <x:fgColor rgb="FFFFF4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663A"/>
      </x:font>
      <x:fill>
        <x:patternFill patternType="solid">
          <x:bgColor rgb="FFD9F2E6"/>
        </x:patternFill>
      </x:fill>
    </x:dxf>
    <x:dxf>
      <x:font>
        <x:color rgb="FF9B1C1C"/>
      </x:font>
      <x:fill>
        <x:patternFill patternType="solid">
          <x:bgColor rgb="FFFCE1E1"/>
        </x:patternFill>
      </x:fill>
    </x:dxf>
    <x:dxf>
      <x:font>
        <x:b/>
        <x:color rgb="FF17663A"/>
      </x:font>
      <x:fill>
        <x:patternFill patternType="solid">
          <x:bgColor rgb="FFD9F2E6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0701ae7da4a14" /><Relationship Type="http://schemas.openxmlformats.org/officeDocument/2006/relationships/theme" Target="/xl/theme/theme1.xml" Id="R09ca4fb4d2ba4ce8" /><Relationship Type="http://schemas.microsoft.com/office/2022/11/relationships/FeaturePropertyBag" Target="/xl/featurePropertyBag/featurePropertyBag.xml" Id="R65fe79c8af16482a" /><Relationship Type="http://schemas.openxmlformats.org/officeDocument/2006/relationships/sharedStrings" Target="/xl/sharedStrings.xml" Id="R9e2f2a0312c04665" /><Relationship Type="http://schemas.openxmlformats.org/officeDocument/2006/relationships/worksheet" Target="/xl/worksheets/sheet1.xml" Id="Re220a19d02664230" /><Relationship Type="http://schemas.openxmlformats.org/officeDocument/2006/relationships/worksheet" Target="/xl/worksheets/sheet2.xml" Id="R8893c88c51b940cf" /><Relationship Type="http://schemas.openxmlformats.org/officeDocument/2006/relationships/worksheet" Target="/xl/worksheets/sheet3.xml" Id="Rdcd0baea44ff4a94" /><Relationship Type="http://schemas.openxmlformats.org/officeDocument/2006/relationships/worksheet" Target="/xl/worksheets/sheet4.xml" Id="R0a631ddeb94e4c32" /><Relationship Type="http://schemas.openxmlformats.org/officeDocument/2006/relationships/worksheet" Target="/xl/worksheets/sheet5.xml" Id="Raed4447806014348" /><Relationship Type="http://schemas.microsoft.com/office/2017/10/relationships/person" Target="/xl/persons/person.xml" Id="R5cb196a6000c4f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ario Meneses" id="{2A205465-5030-4FC5-82DB-6B6014029CA9}"/>
</xltc:personList>
</file>

<file path=xl/tables/table1.xml><?xml version="1.0" encoding="utf-8"?>
<x:table xmlns:x="http://schemas.openxmlformats.org/spreadsheetml/2006/main" id="1" name="ProductosAmpliados" displayName="ProductosAmpliados" ref="A2:U66" headerRowCount="1" totalsRowCount="0" totalsRowShown="0">
  <x:tableColumns count="21">
    <x:tableColumn id="1" name="ID"/>
    <x:tableColumn id="2" name="Categoría"/>
    <x:tableColumn id="3" name="Tipo comparable"/>
    <x:tableColumn id="4" name="Subtipo / diferencial"/>
    <x:tableColumn id="5" name="Destinatario"/>
    <x:tableColumn id="6" name="Producto"/>
    <x:tableColumn id="7" name="Presentación"/>
    <x:tableColumn id="8" name="Precio catálogo COP"/>
    <x:tableColumn id="9" name="Familia / activo"/>
    <x:tableColumn id="10" name="Intensidad 1-5"/>
    <x:tableColumn id="11" name="Necesidad principal"/>
    <x:tableColumn id="12" name="Perfil recomendado"/>
    <x:tableColumn id="13" name="Momento / frecuencia"/>
    <x:tableColumn id="14" name="Nivel de precio"/>
    <x:tableColumn id="15" name="Disponible"/>
    <x:tableColumn id="16" name="Elegible recomendador"/>
    <x:tableColumn id="17" name="Página PDF"/>
    <x:tableColumn id="18" name="Código"/>
    <x:tableColumn id="19" name="Fuente"/>
    <x:tableColumn id="20" name="Actualizado"/>
    <x:tableColumn id="21" name="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itsSugeridos" displayName="KitsSugeridos" ref="A2:I6" headerRowCount="1" totalsRowCount="0" totalsRowShown="0">
  <x:tableColumns count="9">
    <x:tableColumn id="1" name="ID kit"/>
    <x:tableColumn id="2" name="Nombre comercial sugerido"/>
    <x:tableColumn id="3" name="Destinatario"/>
    <x:tableColumn id="4" name="Componentes"/>
    <x:tableColumn id="5" name="Códigos"/>
    <x:tableColumn id="6" name="Precio calculado COP"/>
    <x:tableColumn id="7" name="Disponible"/>
    <x:tableColumn id="8" name="Página(s) origen"/>
    <x:tableColumn id="9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erturaTipos" displayName="CoberturaTipos" ref="A2:E18" headerRowCount="1" totalsRowCount="0" totalsRowShown="0">
  <x:tableColumns count="5">
    <x:tableColumn id="1" name="Categoría"/>
    <x:tableColumn id="2" name="Tipo comparable"/>
    <x:tableColumn id="3" name="Meta"/>
    <x:tableColumn id="4" name="Productos"/>
    <x:tableColumn id="5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ametros" displayName="Parametros" ref="A3:B12" headerRowCount="1" totalsRowCount="0" totalsRowShown="0">
  <x:tableColumns count="2">
    <x:tableColumn id="1" name="Parámetro"/>
    <x:tableColumn id="2" name="Va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cionarioCampos" displayName="DiccionarioCampos" ref="A14:D19" headerRowCount="1" totalsRowCount="0" totalsRowShown="0">
  <x:tableColumns count="4">
    <x:tableColumn id="1" name="Campo"/>
    <x:tableColumn id="2" name="Uso en app"/>
    <x:tableColumn id="3" name="Editable"/>
    <x:tableColumn id="4" name="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d04b309b6d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ce31e198dd42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dd7e36b16946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31ed23548b49ea" /><Relationship Type="http://schemas.openxmlformats.org/officeDocument/2006/relationships/table" Target="/xl/tables/table5.xml" Id="R20fbe578804140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4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oBoticario Belleza a tu Medida - Base comercial ampliada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6" t="str">
        <x:v>Indicador</x:v>
      </x:c>
      <x:c r="B3" s="6" t="str">
        <x:v>Valor</x:v>
      </x:c>
      <x:c r="D3" s="6" t="str">
        <x:v>Categoría</x:v>
      </x:c>
      <x:c r="E3" s="6" t="str">
        <x:v>Productos</x:v>
      </x:c>
      <x:c r="F3" s="6" t="str">
        <x:v>Tipos</x:v>
      </x:c>
    </x:row>
    <x:row r="4">
      <x:c r="A4" t="str">
        <x:v>Productos individuales</x:v>
      </x:c>
      <x:c r="B4" t="n">
        <x:f>COUNTA('Base ampliada 64'!$A$3:$A$66)</x:f>
        <x:v>64</x:v>
      </x:c>
      <x:c r="D4" t="str">
        <x:v>Perfumería</x:v>
      </x:c>
      <x:c r="E4" t="n">
        <x:f>COUNTIF('Base ampliada 64'!$B$3:$B$66,D4)</x:f>
        <x:v>16</x:v>
      </x:c>
      <x:c r="F4" t="n">
        <x:f>COUNTIF('Tipos y cobertura'!$A$3:$A$18,D4)</x:f>
        <x:v>4</x:v>
      </x:c>
    </x:row>
    <x:row r="5">
      <x:c r="A5" t="str">
        <x:v>Elegibles hoy</x:v>
      </x:c>
      <x:c r="B5" t="n">
        <x:f>COUNTIF('Base ampliada 64'!$P$3:$P$66,1)</x:f>
        <x:v>63</x:v>
      </x:c>
      <x:c r="D5" t="str">
        <x:v>Cuidado corporal</x:v>
      </x:c>
      <x:c r="E5" t="n">
        <x:f>COUNTIF('Base ampliada 64'!$B$3:$B$66,D5)</x:f>
        <x:v>16</x:v>
      </x:c>
      <x:c r="F5" t="n">
        <x:f>COUNTIF('Tipos y cobertura'!$A$3:$A$18,D5)</x:f>
        <x:v>4</x:v>
      </x:c>
    </x:row>
    <x:row r="6">
      <x:c r="A6" t="str">
        <x:v>Tipos comparables</x:v>
      </x:c>
      <x:c r="B6" t="n">
        <x:f>COUNTA('Tipos y cobertura'!$B$3:$B$18)</x:f>
        <x:v>16</x:v>
      </x:c>
      <x:c r="D6" t="str">
        <x:v>Cuidado facial</x:v>
      </x:c>
      <x:c r="E6" t="n">
        <x:f>COUNTIF('Base ampliada 64'!$B$3:$B$66,D6)</x:f>
        <x:v>16</x:v>
      </x:c>
      <x:c r="F6" t="n">
        <x:f>COUNTIF('Tipos y cobertura'!$A$3:$A$18,D6)</x:f>
        <x:v>4</x:v>
      </x:c>
    </x:row>
    <x:row r="7">
      <x:c r="A7" t="str">
        <x:v>Productos por tipo</x:v>
      </x:c>
      <x:c r="B7" t="n">
        <x:f>MIN('Tipos y cobertura'!$D$3:$D$18)</x:f>
        <x:v>4</x:v>
      </x:c>
      <x:c r="D7" t="str">
        <x:v>Cabello</x:v>
      </x:c>
      <x:c r="E7" t="n">
        <x:f>COUNTIF('Base ampliada 64'!$B$3:$B$66,D7)</x:f>
        <x:v>16</x:v>
      </x:c>
      <x:c r="F7" t="n">
        <x:f>COUNTIF('Tipos y cobertura'!$A$3:$A$18,D7)</x:f>
        <x:v>4</x:v>
      </x:c>
    </x:row>
    <x:row r="8">
      <x:c r="A8" t="str">
        <x:v>Kits sugeridos</x:v>
      </x:c>
      <x:c r="B8" t="n">
        <x:f>COUNTA('Kits sugeridos'!$A$3:$A$6)</x:f>
        <x:v>4</x:v>
      </x:c>
      <x:c r="D8" t="str">
        <x:v>TOTAL</x:v>
      </x:c>
      <x:c r="E8" t="n">
        <x:f>SUM(E4:E7)</x:f>
        <x:v>64</x:v>
      </x:c>
      <x:c r="F8" t="n">
        <x:f>SUM(F4:F7)</x:f>
        <x:v>16</x:v>
      </x:c>
    </x:row>
    <x:row r="9">
      <x:c r="A9" t="str">
        <x:v>Precio mínimo</x:v>
      </x:c>
      <x:c r="B9" s="7" t="n">
        <x:f>MIN('Base ampliada 64'!$H$3:$H$66)</x:f>
        <x:v>32900</x:v>
      </x:c>
    </x:row>
    <x:row r="10">
      <x:c r="A10" t="str">
        <x:v>Precio máximo</x:v>
      </x:c>
      <x:c r="B10" s="7" t="n">
        <x:f>MAX('Base ampliada 64'!$H$3:$H$66)</x:f>
        <x:v>184900</x:v>
      </x:c>
    </x:row>
    <x:row r="11">
      <x:c r="A11" t="str">
        <x:v>Precio promedio</x:v>
      </x:c>
      <x:c r="B11" s="7" t="n">
        <x:f>AVERAGE('Base ampliada 64'!$H$3:$H$66)</x:f>
        <x:v>97919.140625</x:v>
      </x:c>
    </x:row>
    <x:row r="13">
      <x:c r="A13" s="15" t="str">
        <x:v>Decisión comercial: 64 productos individuales cubren 16 tipos comparables con cuatro alternativas por tipo. Los cuatro kits se mantienen en una tabla separada porque son combinaciones sugeridas y no SKU oficiales. Antes de publicar la app, confirmar disponibilidad y los códigos pendientes.</x:v>
      </x:c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</x:sheetData>
  <x:mergeCells>
    <x:mergeCell ref="A1:F1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22" hidden="0" customWidth="1"/>
    <x:col min="5" max="5" width="14" hidden="0" customWidth="1"/>
    <x:col min="6" max="6" width="38" hidden="0" customWidth="1"/>
    <x:col min="7" max="7" width="16" hidden="0" customWidth="1"/>
    <x:col min="8" max="8" width="17" hidden="0" customWidth="1"/>
    <x:col min="9" max="9" width="25" hidden="0" customWidth="1"/>
    <x:col min="10" max="10" width="14" hidden="0" customWidth="1"/>
    <x:col min="11" max="11" width="30" hidden="0" customWidth="1"/>
    <x:col min="12" max="12" width="32" hidden="0" customWidth="1"/>
    <x:col min="13" max="13" width="24" hidden="0" customWidth="1"/>
    <x:col min="14" max="14" width="14" hidden="0" customWidth="1"/>
    <x:col min="15" max="15" width="12" hidden="0" customWidth="1"/>
    <x:col min="16" max="16" width="16" hidden="0" customWidth="1"/>
    <x:col min="17" max="17" width="12" hidden="0" customWidth="1"/>
    <x:col min="18" max="18" width="14" hidden="0" customWidth="1"/>
    <x:col min="19" max="19" width="42" hidden="0" customWidth="1"/>
    <x:col min="20" max="20" width="14" hidden="0" customWidth="1"/>
    <x:col min="21" max="21" width="14" hidden="0" customWidth="1"/>
  </x:cols>
  <x:sheetData>
    <x:row r="1" ht="30" customHeight="1">
      <x:c r="A1" s="3" t="str">
        <x:v>Base ampliada - oBoticario Belleza a tu Medida | Ciclo 08 agosto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6" t="str">
        <x:v>ID</x:v>
      </x:c>
      <x:c r="B2" s="6" t="str">
        <x:v>Categoría</x:v>
      </x:c>
      <x:c r="C2" s="6" t="str">
        <x:v>Tipo comparable</x:v>
      </x:c>
      <x:c r="D2" s="6" t="str">
        <x:v>Subtipo / diferencial</x:v>
      </x:c>
      <x:c r="E2" s="6" t="str">
        <x:v>Destinatario</x:v>
      </x:c>
      <x:c r="F2" s="6" t="str">
        <x:v>Producto</x:v>
      </x:c>
      <x:c r="G2" s="6" t="str">
        <x:v>Presentación</x:v>
      </x:c>
      <x:c r="H2" s="6" t="str">
        <x:v>Precio catálogo COP</x:v>
      </x:c>
      <x:c r="I2" s="6" t="str">
        <x:v>Familia / activo</x:v>
      </x:c>
      <x:c r="J2" s="6" t="str">
        <x:v>Intensidad 1-5</x:v>
      </x:c>
      <x:c r="K2" s="6" t="str">
        <x:v>Necesidad principal</x:v>
      </x:c>
      <x:c r="L2" s="6" t="str">
        <x:v>Perfil recomendado</x:v>
      </x:c>
      <x:c r="M2" s="6" t="str">
        <x:v>Momento / frecuencia</x:v>
      </x:c>
      <x:c r="N2" s="6" t="str">
        <x:v>Nivel de precio</x:v>
      </x:c>
      <x:c r="O2" s="6" t="str">
        <x:v>Disponible</x:v>
      </x:c>
      <x:c r="P2" s="6" t="str">
        <x:v>Elegible recomendador</x:v>
      </x:c>
      <x:c r="Q2" s="6" t="str">
        <x:v>Página PDF</x:v>
      </x:c>
      <x:c r="R2" s="6" t="str">
        <x:v>Código</x:v>
      </x:c>
      <x:c r="S2" s="6" t="str">
        <x:v>Fuente</x:v>
      </x:c>
      <x:c r="T2" s="6" t="str">
        <x:v>Actualizado</x:v>
      </x:c>
      <x:c r="U2" s="6" t="str">
        <x:v>Rol</x:v>
      </x:c>
    </x:row>
    <x:row r="3" ht="44" customHeight="1">
      <x:c r="A3" s="9" t="str">
        <x:v>OB001</x:v>
      </x:c>
      <x:c r="B3" s="9" t="str">
        <x:v>Perfumería</x:v>
      </x:c>
      <x:c r="C3" s="9" t="str">
        <x:v>Femenina dulce/gourmand</x:v>
      </x:c>
      <x:c r="D3" s="9" t="str">
        <x:v>Dulce moderna</x:v>
      </x:c>
      <x:c r="E3" s="9" t="str">
        <x:v>Mujer</x:v>
      </x:c>
      <x:c r="F3" s="9" t="str">
        <x:v>Egeo Dolce EDT</x:v>
      </x:c>
      <x:c r="G3" s="9" t="str">
        <x:v>90 ml</x:v>
      </x:c>
      <x:c r="H3" s="10" t="n">
        <x:v>133365</x:v>
      </x:c>
      <x:c r="I3" s="9" t="str">
        <x:v>Oriental gourmand</x:v>
      </x:c>
      <x:c r="J3" s="9" t="n">
        <x:v>4</x:v>
      </x:c>
      <x:c r="K3" s="9" t="str">
        <x:v>Fragancia dulce, moderna e intensa</x:v>
      </x:c>
      <x:c r="L3" s="9" t="str">
        <x:v>Mujer que disfruta aromas gourmand</x:v>
      </x:c>
      <x:c r="M3" s="9" t="str">
        <x:v>Diario o salida</x:v>
      </x:c>
      <x:c r="N3" s="9" t="str">
        <x:f>IF(H3&lt;=70000,"Económico",IF(H3&lt;=120000,"Medio",IF(H3&lt;=170000,"Alto","Premium")))</x:f>
        <x:v>Alto</x:v>
      </x:c>
      <x:c r="O3" s="11" t="b">
        <x:v>1</x:v>
      </x:c>
      <x:c r="P3" s="11" t="b">
        <x:v>1</x:v>
      </x:c>
      <x:c r="Q3" s="9" t="n">
        <x:v>8</x:v>
      </x:c>
      <x:c r="R3" s="9" t="str">
        <x:v>60138</x:v>
      </x:c>
      <x:c r="S3" s="9" t="str">
        <x:v>https://www.catalogoboticario.com/2026-catalogo-colombia/cat-col-t8-agosoto-2026/?page=1</x:v>
      </x:c>
      <x:c r="T3" s="12" t="n">
        <x:v>46242.208333333336</x:v>
      </x:c>
      <x:c r="U3" s="9" t="str">
        <x:v>Principal</x:v>
      </x:c>
    </x:row>
    <x:row r="4" ht="44" customHeight="1">
      <x:c r="A4" s="9" t="str">
        <x:v>OB002</x:v>
      </x:c>
      <x:c r="B4" s="9" t="str">
        <x:v>Perfumería</x:v>
      </x:c>
      <x:c r="C4" s="9" t="str">
        <x:v>Femenina dulce/gourmand</x:v>
      </x:c>
      <x:c r="D4" s="9" t="str">
        <x:v>Dulce divertida</x:v>
      </x:c>
      <x:c r="E4" s="9" t="str">
        <x:v>Mujer</x:v>
      </x:c>
      <x:c r="F4" s="9" t="str">
        <x:v>Egeo Choc High EDT</x:v>
      </x:c>
      <x:c r="G4" s="9" t="str">
        <x:v>90 ml</x:v>
      </x:c>
      <x:c r="H4" s="10" t="n">
        <x:v>133365</x:v>
      </x:c>
      <x:c r="I4" s="9" t="str">
        <x:v>Floriental gourmand</x:v>
      </x:c>
      <x:c r="J4" s="9" t="n">
        <x:v>4</x:v>
      </x:c>
      <x:c r="K4" s="9" t="str">
        <x:v>Dulzura divertida y marcante</x:v>
      </x:c>
      <x:c r="L4" s="9" t="str">
        <x:v>Mujer joven o de estilo atrevido</x:v>
      </x:c>
      <x:c r="M4" s="9" t="str">
        <x:v>Salida o noche</x:v>
      </x:c>
      <x:c r="N4" s="9" t="str">
        <x:f>IF(H4&lt;=70000,"Económico",IF(H4&lt;=120000,"Medio",IF(H4&lt;=170000,"Alto","Premium")))</x:f>
        <x:v>Alto</x:v>
      </x:c>
      <x:c r="O4" s="11" t="b">
        <x:v>1</x:v>
      </x:c>
      <x:c r="P4" s="11" t="b">
        <x:v>1</x:v>
      </x:c>
      <x:c r="Q4" s="9" t="n">
        <x:v>10</x:v>
      </x:c>
      <x:c r="R4" s="9" t="str">
        <x:v>63413</x:v>
      </x:c>
      <x:c r="S4" s="9" t="str">
        <x:v>https://www.catalogoboticario.com/2026-catalogo-colombia/cat-col-t8-agosoto-2026/?page=1</x:v>
      </x:c>
      <x:c r="T4" s="12" t="n">
        <x:v>46242.208333333336</x:v>
      </x:c>
      <x:c r="U4" s="9" t="str">
        <x:v>Alternativa</x:v>
      </x:c>
    </x:row>
    <x:row r="5" ht="44" customHeight="1">
      <x:c r="A5" s="9" t="str">
        <x:v>OB003</x:v>
      </x:c>
      <x:c r="B5" s="9" t="str">
        <x:v>Perfumería</x:v>
      </x:c>
      <x:c r="C5" s="9" t="str">
        <x:v>Femenina dulce/gourmand</x:v>
      </x:c>
      <x:c r="D5" s="9" t="str">
        <x:v>Sensual</x:v>
      </x:c>
      <x:c r="E5" s="9" t="str">
        <x:v>Mujer</x:v>
      </x:c>
      <x:c r="F5" s="9" t="str">
        <x:v>Coffee EDT Woman Seduction</x:v>
      </x:c>
      <x:c r="G5" s="9" t="str">
        <x:v>100 ml</x:v>
      </x:c>
      <x:c r="H5" s="10" t="n">
        <x:v>169900</x:v>
      </x:c>
      <x:c r="I5" s="9" t="str">
        <x:v>Floriental frutal</x:v>
      </x:c>
      <x:c r="J5" s="9" t="n">
        <x:v>4</x:v>
      </x:c>
      <x:c r="K5" s="9" t="str">
        <x:v>Sensualidad dulce inspirada en café</x:v>
      </x:c>
      <x:c r="L5" s="9" t="str">
        <x:v>Mujer que busca una fragancia envolvente</x:v>
      </x:c>
      <x:c r="M5" s="9" t="str">
        <x:v>Noche o cita</x:v>
      </x:c>
      <x:c r="N5" s="9" t="str">
        <x:f>IF(H5&lt;=70000,"Económico",IF(H5&lt;=120000,"Medio",IF(H5&lt;=170000,"Alto","Premium")))</x:f>
        <x:v>Alto</x:v>
      </x:c>
      <x:c r="O5" s="11" t="b">
        <x:v>1</x:v>
      </x:c>
      <x:c r="P5" s="11" t="b">
        <x:v>1</x:v>
      </x:c>
      <x:c r="Q5" s="9" t="n">
        <x:v>24</x:v>
      </x:c>
      <x:c r="R5" s="9" t="str">
        <x:v>60333</x:v>
      </x:c>
      <x:c r="S5" s="9" t="str">
        <x:v>https://www.catalogoboticario.com/2026-catalogo-colombia/cat-col-t8-agosoto-2026/?page=1</x:v>
      </x:c>
      <x:c r="T5" s="12" t="n">
        <x:v>46242.208333333336</x:v>
      </x:c>
      <x:c r="U5" s="9" t="str">
        <x:v>Alternativa</x:v>
      </x:c>
    </x:row>
    <x:row r="6" ht="44" customHeight="1">
      <x:c r="A6" s="9" t="str">
        <x:v>OB004</x:v>
      </x:c>
      <x:c r="B6" s="9" t="str">
        <x:v>Perfumería</x:v>
      </x:c>
      <x:c r="C6" s="9" t="str">
        <x:v>Femenina dulce/gourmand</x:v>
      </x:c>
      <x:c r="D6" s="9" t="str">
        <x:v>Dulce reconfortante</x:v>
      </x:c>
      <x:c r="E6" s="9" t="str">
        <x:v>Mujer</x:v>
      </x:c>
      <x:c r="F6" s="9" t="str">
        <x:v>Egeo Cogu Mellow EDT</x:v>
      </x:c>
      <x:c r="G6" s="9" t="str">
        <x:v>90 ml</x:v>
      </x:c>
      <x:c r="H6" s="10" t="n">
        <x:v>141865</x:v>
      </x:c>
      <x:c r="I6" s="9" t="str">
        <x:v>Oriental frutal</x:v>
      </x:c>
      <x:c r="J6" s="9" t="n">
        <x:v>4</x:v>
      </x:c>
      <x:c r="K6" s="9" t="str">
        <x:v>Aroma dulce, afrutado y reconfortante</x:v>
      </x:c>
      <x:c r="L6" s="9" t="str">
        <x:v>Mujer que quiere una opción original</x:v>
      </x:c>
      <x:c r="M6" s="9" t="str">
        <x:v>Diario o salida</x:v>
      </x:c>
      <x:c r="N6" s="9" t="str">
        <x:f>IF(H6&lt;=70000,"Económico",IF(H6&lt;=120000,"Medio",IF(H6&lt;=170000,"Alto","Premium")))</x:f>
        <x:v>Alto</x:v>
      </x:c>
      <x:c r="O6" s="11" t="b">
        <x:v>1</x:v>
      </x:c>
      <x:c r="P6" s="11" t="b">
        <x:v>1</x:v>
      </x:c>
      <x:c r="Q6" s="9" t="n">
        <x:v>9</x:v>
      </x:c>
      <x:c r="R6" s="9" t="str">
        <x:v>63835</x:v>
      </x:c>
      <x:c r="S6" s="9" t="str">
        <x:v>https://www.catalogoboticario.com/2026-catalogo-colombia/cat-col-t8-agosoto-2026/?page=1</x:v>
      </x:c>
      <x:c r="T6" s="12" t="n">
        <x:v>46242.208333333336</x:v>
      </x:c>
      <x:c r="U6" s="9" t="str">
        <x:v>Alternativa</x:v>
      </x:c>
    </x:row>
    <x:row r="7" ht="44" customHeight="1">
      <x:c r="A7" s="9" t="str">
        <x:v>OB005</x:v>
      </x:c>
      <x:c r="B7" s="9" t="str">
        <x:v>Perfumería</x:v>
      </x:c>
      <x:c r="C7" s="9" t="str">
        <x:v>Femenina floral</x:v>
      </x:c>
      <x:c r="D7" s="9" t="str">
        <x:v>Floriental frutal</x:v>
      </x:c>
      <x:c r="E7" s="9" t="str">
        <x:v>Mujer</x:v>
      </x:c>
      <x:c r="F7" s="9" t="str">
        <x:v>Floratta Red EDT</x:v>
      </x:c>
      <x:c r="G7" s="9" t="str">
        <x:v>75 ml</x:v>
      </x:c>
      <x:c r="H7" s="10" t="n">
        <x:v>159900</x:v>
      </x:c>
      <x:c r="I7" s="9" t="str">
        <x:v>Floriental frutal</x:v>
      </x:c>
      <x:c r="J7" s="9" t="n">
        <x:v>4</x:v>
      </x:c>
      <x:c r="K7" s="9" t="str">
        <x:v>Romance dulce con presencia</x:v>
      </x:c>
      <x:c r="L7" s="9" t="str">
        <x:v>Mujer romántica y segura</x:v>
      </x:c>
      <x:c r="M7" s="9" t="str">
        <x:v>Diario o cita</x:v>
      </x:c>
      <x:c r="N7" s="9" t="str">
        <x:f>IF(H7&lt;=70000,"Económico",IF(H7&lt;=120000,"Medio",IF(H7&lt;=170000,"Alto","Premium")))</x:f>
        <x:v>Alto</x:v>
      </x:c>
      <x:c r="O7" s="11" t="b">
        <x:v>1</x:v>
      </x:c>
      <x:c r="P7" s="11" t="b">
        <x:v>1</x:v>
      </x:c>
      <x:c r="Q7" s="9" t="n">
        <x:v>13</x:v>
      </x:c>
      <x:c r="R7" s="9" t="str">
        <x:v>62330</x:v>
      </x:c>
      <x:c r="S7" s="9" t="str">
        <x:v>https://www.catalogoboticario.com/2026-catalogo-colombia/cat-col-t8-agosoto-2026/?page=1</x:v>
      </x:c>
      <x:c r="T7" s="12" t="n">
        <x:v>46242.208333333336</x:v>
      </x:c>
      <x:c r="U7" s="9" t="str">
        <x:v>Principal</x:v>
      </x:c>
    </x:row>
    <x:row r="8" ht="44" customHeight="1">
      <x:c r="A8" s="9" t="str">
        <x:v>OB006</x:v>
      </x:c>
      <x:c r="B8" s="9" t="str">
        <x:v>Perfumería</x:v>
      </x:c>
      <x:c r="C8" s="9" t="str">
        <x:v>Femenina floral</x:v>
      </x:c>
      <x:c r="D8" s="9" t="str">
        <x:v>Floral amaderada</x:v>
      </x:c>
      <x:c r="E8" s="9" t="str">
        <x:v>Mujer</x:v>
      </x:c>
      <x:c r="F8" s="9" t="str">
        <x:v>Floratta My Blue EDT</x:v>
      </x:c>
      <x:c r="G8" s="9" t="str">
        <x:v>75 ml</x:v>
      </x:c>
      <x:c r="H8" s="10" t="n">
        <x:v>159900</x:v>
      </x:c>
      <x:c r="I8" s="9" t="str">
        <x:v>Floral amaderada</x:v>
      </x:c>
      <x:c r="J8" s="9" t="n">
        <x:v>3</x:v>
      </x:c>
      <x:c r="K8" s="9" t="str">
        <x:v>Confort y romance</x:v>
      </x:c>
      <x:c r="L8" s="9" t="str">
        <x:v>Mujer que prefiere suavidad floral</x:v>
      </x:c>
      <x:c r="M8" s="9" t="str">
        <x:v>Diario</x:v>
      </x:c>
      <x:c r="N8" s="9" t="str">
        <x:f>IF(H8&lt;=70000,"Económico",IF(H8&lt;=120000,"Medio",IF(H8&lt;=170000,"Alto","Premium")))</x:f>
        <x:v>Alto</x:v>
      </x:c>
      <x:c r="O8" s="11" t="b">
        <x:v>1</x:v>
      </x:c>
      <x:c r="P8" s="11" t="b">
        <x:v>1</x:v>
      </x:c>
      <x:c r="Q8" s="9" t="n">
        <x:v>17</x:v>
      </x:c>
      <x:c r="R8" s="9" t="str">
        <x:v>60000</x:v>
      </x:c>
      <x:c r="S8" s="9" t="str">
        <x:v>https://www.catalogoboticario.com/2026-catalogo-colombia/cat-col-t8-agosoto-2026/?page=1</x:v>
      </x:c>
      <x:c r="T8" s="12" t="n">
        <x:v>46242.208333333336</x:v>
      </x:c>
      <x:c r="U8" s="9" t="str">
        <x:v>Alternativa</x:v>
      </x:c>
    </x:row>
    <x:row r="9" ht="44" customHeight="1">
      <x:c r="A9" s="9" t="str">
        <x:v>OB007</x:v>
      </x:c>
      <x:c r="B9" s="9" t="str">
        <x:v>Perfumería</x:v>
      </x:c>
      <x:c r="C9" s="9" t="str">
        <x:v>Femenina floral</x:v>
      </x:c>
      <x:c r="D9" s="9" t="str">
        <x:v>Floral delicada</x:v>
      </x:c>
      <x:c r="E9" s="9" t="str">
        <x:v>Mujer</x:v>
      </x:c>
      <x:c r="F9" s="9" t="str">
        <x:v>L'Eau de Lily desodorante colonia</x:v>
      </x:c>
      <x:c r="G9" s="9" t="str">
        <x:v>75 ml</x:v>
      </x:c>
      <x:c r="H9" s="10" t="n">
        <x:v>174900</x:v>
      </x:c>
      <x:c r="I9" s="9" t="str">
        <x:v>Floral floral</x:v>
      </x:c>
      <x:c r="J9" s="9" t="n">
        <x:v>3</x:v>
      </x:c>
      <x:c r="K9" s="9" t="str">
        <x:v>Frescura y delicadeza femenina</x:v>
      </x:c>
      <x:c r="L9" s="9" t="str">
        <x:v>Mujer de estilo clásico y elegante</x:v>
      </x:c>
      <x:c r="M9" s="9" t="str">
        <x:v>Diario</x:v>
      </x:c>
      <x:c r="N9" s="9" t="str">
        <x:f>IF(H9&lt;=70000,"Económico",IF(H9&lt;=120000,"Medio",IF(H9&lt;=170000,"Alto","Premium")))</x:f>
        <x:v>Premium</x:v>
      </x:c>
      <x:c r="O9" s="11" t="b">
        <x:v>1</x:v>
      </x:c>
      <x:c r="P9" s="11" t="b">
        <x:v>1</x:v>
      </x:c>
      <x:c r="Q9" s="9" t="n">
        <x:v>20</x:v>
      </x:c>
      <x:c r="R9" s="9" t="str">
        <x:v>89371</x:v>
      </x:c>
      <x:c r="S9" s="9" t="str">
        <x:v>https://www.catalogoboticario.com/2026-catalogo-colombia/cat-col-t8-agosoto-2026/?page=1</x:v>
      </x:c>
      <x:c r="T9" s="12" t="n">
        <x:v>46242.208333333336</x:v>
      </x:c>
      <x:c r="U9" s="9" t="str">
        <x:v>Alternativa</x:v>
      </x:c>
    </x:row>
    <x:row r="10" ht="44" customHeight="1">
      <x:c r="A10" s="9" t="str">
        <x:v>OB008</x:v>
      </x:c>
      <x:c r="B10" s="9" t="str">
        <x:v>Perfumería</x:v>
      </x:c>
      <x:c r="C10" s="9" t="str">
        <x:v>Femenina floral</x:v>
      </x:c>
      <x:c r="D10" s="9" t="str">
        <x:v>Floral alegre</x:v>
      </x:c>
      <x:c r="E10" s="9" t="str">
        <x:v>Mujer</x:v>
      </x:c>
      <x:c r="F10" s="9" t="str">
        <x:v>Floratta Rose EDT</x:v>
      </x:c>
      <x:c r="G10" s="9" t="str">
        <x:v>75 ml</x:v>
      </x:c>
      <x:c r="H10" s="10" t="n">
        <x:v>159900</x:v>
      </x:c>
      <x:c r="I10" s="9" t="str">
        <x:v>Floral</x:v>
      </x:c>
      <x:c r="J10" s="9" t="n">
        <x:v>3</x:v>
      </x:c>
      <x:c r="K10" s="9" t="str">
        <x:v>Fragancia alegre e impactante</x:v>
      </x:c>
      <x:c r="L10" s="9" t="str">
        <x:v>Mujer romántica para uso diario</x:v>
      </x:c>
      <x:c r="M10" s="9" t="str">
        <x:v>Diario</x:v>
      </x:c>
      <x:c r="N10" s="9" t="str">
        <x:f>IF(H10&lt;=70000,"Económico",IF(H10&lt;=120000,"Medio",IF(H10&lt;=170000,"Alto","Premium")))</x:f>
        <x:v>Alto</x:v>
      </x:c>
      <x:c r="O10" s="11" t="b">
        <x:v>1</x:v>
      </x:c>
      <x:c r="P10" s="11" t="b">
        <x:v>1</x:v>
      </x:c>
      <x:c r="Q10" s="9" t="n">
        <x:v>16</x:v>
      </x:c>
      <x:c r="R10" s="9" t="str">
        <x:v>60301</x:v>
      </x:c>
      <x:c r="S10" s="9" t="str">
        <x:v>https://www.catalogoboticario.com/2026-catalogo-colombia/cat-col-t8-agosoto-2026/?page=1</x:v>
      </x:c>
      <x:c r="T10" s="12" t="n">
        <x:v>46242.208333333336</x:v>
      </x:c>
      <x:c r="U10" s="9" t="str">
        <x:v>Alternativa</x:v>
      </x:c>
    </x:row>
    <x:row r="11" ht="44" customHeight="1">
      <x:c r="A11" s="9" t="str">
        <x:v>OB009</x:v>
      </x:c>
      <x:c r="B11" s="9" t="str">
        <x:v>Perfumería</x:v>
      </x:c>
      <x:c r="C11" s="9" t="str">
        <x:v>Masculina amaderada</x:v>
      </x:c>
      <x:c r="D11" s="9" t="str">
        <x:v>Oriental sofisticada</x:v>
      </x:c>
      <x:c r="E11" s="9" t="str">
        <x:v>Hombre</x:v>
      </x:c>
      <x:c r="F11" s="9" t="str">
        <x:v>Malbec EDT Black Legend</x:v>
      </x:c>
      <x:c r="G11" s="9" t="str">
        <x:v>100 ml</x:v>
      </x:c>
      <x:c r="H11" s="10" t="n">
        <x:v>184900</x:v>
      </x:c>
      <x:c r="I11" s="9" t="str">
        <x:v>Amaderada oriental</x:v>
      </x:c>
      <x:c r="J11" s="9" t="n">
        <x:v>4</x:v>
      </x:c>
      <x:c r="K11" s="9" t="str">
        <x:v>Atracción y sofisticación</x:v>
      </x:c>
      <x:c r="L11" s="9" t="str">
        <x:v>Hombre moderno que busca presencia</x:v>
      </x:c>
      <x:c r="M11" s="9" t="str">
        <x:v>Noche o evento</x:v>
      </x:c>
      <x:c r="N11" s="9" t="str">
        <x:f>IF(H11&lt;=70000,"Económico",IF(H11&lt;=120000,"Medio",IF(H11&lt;=170000,"Alto","Premium")))</x:f>
        <x:v>Premium</x:v>
      </x:c>
      <x:c r="O11" s="11" t="b">
        <x:v>1</x:v>
      </x:c>
      <x:c r="P11" s="11" t="b">
        <x:v>1</x:v>
      </x:c>
      <x:c r="Q11" s="9" t="n">
        <x:v>36</x:v>
      </x:c>
      <x:c r="R11" s="9" t="str">
        <x:v>63706</x:v>
      </x:c>
      <x:c r="S11" s="9" t="str">
        <x:v>https://www.catalogoboticario.com/2026-catalogo-colombia/cat-col-t8-agosoto-2026/?page=1</x:v>
      </x:c>
      <x:c r="T11" s="12" t="n">
        <x:v>46242.208333333336</x:v>
      </x:c>
      <x:c r="U11" s="9" t="str">
        <x:v>Principal</x:v>
      </x:c>
    </x:row>
    <x:row r="12" ht="44" customHeight="1">
      <x:c r="A12" s="9" t="str">
        <x:v>OB010</x:v>
      </x:c>
      <x:c r="B12" s="9" t="str">
        <x:v>Perfumería</x:v>
      </x:c>
      <x:c r="C12" s="9" t="str">
        <x:v>Masculina amaderada</x:v>
      </x:c>
      <x:c r="D12" s="9" t="str">
        <x:v>Clásica</x:v>
      </x:c>
      <x:c r="E12" s="9" t="str">
        <x:v>Hombre</x:v>
      </x:c>
      <x:c r="F12" s="9" t="str">
        <x:v>Malbec EDT</x:v>
      </x:c>
      <x:c r="G12" s="9" t="str">
        <x:v>100 ml</x:v>
      </x:c>
      <x:c r="H12" s="10" t="n">
        <x:v>184900</x:v>
      </x:c>
      <x:c r="I12" s="9" t="str">
        <x:v>Amaderada</x:v>
      </x:c>
      <x:c r="J12" s="9" t="n">
        <x:v>4</x:v>
      </x:c>
      <x:c r="K12" s="9" t="str">
        <x:v>Perfil amaderado y sofisticado</x:v>
      </x:c>
      <x:c r="L12" s="9" t="str">
        <x:v>Hombre clásico y seguro</x:v>
      </x:c>
      <x:c r="M12" s="9" t="str">
        <x:v>Diario o evento</x:v>
      </x:c>
      <x:c r="N12" s="9" t="str">
        <x:f>IF(H12&lt;=70000,"Económico",IF(H12&lt;=120000,"Medio",IF(H12&lt;=170000,"Alto","Premium")))</x:f>
        <x:v>Premium</x:v>
      </x:c>
      <x:c r="O12" s="11" t="b">
        <x:v>1</x:v>
      </x:c>
      <x:c r="P12" s="11" t="b">
        <x:v>1</x:v>
      </x:c>
      <x:c r="Q12" s="9" t="n">
        <x:v>38</x:v>
      </x:c>
      <x:c r="R12" s="9" t="str">
        <x:v>60009</x:v>
      </x:c>
      <x:c r="S12" s="9" t="str">
        <x:v>https://www.catalogoboticario.com/2026-catalogo-colombia/cat-col-t8-agosoto-2026/?page=1</x:v>
      </x:c>
      <x:c r="T12" s="12" t="n">
        <x:v>46242.208333333336</x:v>
      </x:c>
      <x:c r="U12" s="9" t="str">
        <x:v>Alternativa</x:v>
      </x:c>
    </x:row>
    <x:row r="13" ht="44" customHeight="1">
      <x:c r="A13" s="9" t="str">
        <x:v>OB011</x:v>
      </x:c>
      <x:c r="B13" s="9" t="str">
        <x:v>Perfumería</x:v>
      </x:c>
      <x:c r="C13" s="9" t="str">
        <x:v>Masculina amaderada</x:v>
      </x:c>
      <x:c r="D13" s="9" t="str">
        <x:v>Especiada</x:v>
      </x:c>
      <x:c r="E13" s="9" t="str">
        <x:v>Hombre</x:v>
      </x:c>
      <x:c r="F13" s="9" t="str">
        <x:v>Malbec EDT Noir</x:v>
      </x:c>
      <x:c r="G13" s="9" t="str">
        <x:v>100 ml</x:v>
      </x:c>
      <x:c r="H13" s="10" t="n">
        <x:v>184900</x:v>
      </x:c>
      <x:c r="I13" s="9" t="str">
        <x:v>Amaderada especiada</x:v>
      </x:c>
      <x:c r="J13" s="9" t="n">
        <x:v>4</x:v>
      </x:c>
      <x:c r="K13" s="9" t="str">
        <x:v>Contraste frutal, pimienta y sándalo</x:v>
      </x:c>
      <x:c r="L13" s="9" t="str">
        <x:v>Hombre que prefiere un aroma oscuro</x:v>
      </x:c>
      <x:c r="M13" s="9" t="str">
        <x:v>Noche</x:v>
      </x:c>
      <x:c r="N13" s="9" t="str">
        <x:f>IF(H13&lt;=70000,"Económico",IF(H13&lt;=120000,"Medio",IF(H13&lt;=170000,"Alto","Premium")))</x:f>
        <x:v>Premium</x:v>
      </x:c>
      <x:c r="O13" s="11" t="b">
        <x:v>1</x:v>
      </x:c>
      <x:c r="P13" s="11" t="b">
        <x:v>1</x:v>
      </x:c>
      <x:c r="Q13" s="9" t="n">
        <x:v>40</x:v>
      </x:c>
      <x:c r="R13" s="9" t="str">
        <x:v>63342</x:v>
      </x:c>
      <x:c r="S13" s="9" t="str">
        <x:v>https://www.catalogoboticario.com/2026-catalogo-colombia/cat-col-t8-agosoto-2026/?page=1</x:v>
      </x:c>
      <x:c r="T13" s="12" t="n">
        <x:v>46242.208333333336</x:v>
      </x:c>
      <x:c r="U13" s="9" t="str">
        <x:v>Alternativa</x:v>
      </x:c>
    </x:row>
    <x:row r="14" ht="44" customHeight="1">
      <x:c r="A14" s="9" t="str">
        <x:v>OB012</x:v>
      </x:c>
      <x:c r="B14" s="9" t="str">
        <x:v>Perfumería</x:v>
      </x:c>
      <x:c r="C14" s="9" t="str">
        <x:v>Masculina amaderada</x:v>
      </x:c>
      <x:c r="D14" s="9" t="str">
        <x:v>Frutal magnética</x:v>
      </x:c>
      <x:c r="E14" s="9" t="str">
        <x:v>Hombre</x:v>
      </x:c>
      <x:c r="F14" s="9" t="str">
        <x:v>Malbec EDT Magnetic</x:v>
      </x:c>
      <x:c r="G14" s="9" t="str">
        <x:v>100 ml</x:v>
      </x:c>
      <x:c r="H14" s="10" t="n">
        <x:v>184900</x:v>
      </x:c>
      <x:c r="I14" s="9" t="str">
        <x:v>Amaderada frutal</x:v>
      </x:c>
      <x:c r="J14" s="9" t="n">
        <x:v>4</x:v>
      </x:c>
      <x:c r="K14" s="9" t="str">
        <x:v>Seducción con acordes minerales y frutales</x:v>
      </x:c>
      <x:c r="L14" s="9" t="str">
        <x:v>Hombre que busca una firma magnética</x:v>
      </x:c>
      <x:c r="M14" s="9" t="str">
        <x:v>Noche o cita</x:v>
      </x:c>
      <x:c r="N14" s="9" t="str">
        <x:f>IF(H14&lt;=70000,"Económico",IF(H14&lt;=120000,"Medio",IF(H14&lt;=170000,"Alto","Premium")))</x:f>
        <x:v>Premium</x:v>
      </x:c>
      <x:c r="O14" s="11" t="b">
        <x:v>1</x:v>
      </x:c>
      <x:c r="P14" s="11" t="b">
        <x:v>1</x:v>
      </x:c>
      <x:c r="Q14" s="9" t="n">
        <x:v>40</x:v>
      </x:c>
      <x:c r="R14" s="9" t="str">
        <x:v>63343</x:v>
      </x:c>
      <x:c r="S14" s="9" t="str">
        <x:v>https://www.catalogoboticario.com/2026-catalogo-colombia/cat-col-t8-agosoto-2026/?page=1</x:v>
      </x:c>
      <x:c r="T14" s="12" t="n">
        <x:v>46242.208333333336</x:v>
      </x:c>
      <x:c r="U14" s="9" t="str">
        <x:v>Alternativa</x:v>
      </x:c>
    </x:row>
    <x:row r="15" ht="44" customHeight="1">
      <x:c r="A15" s="9" t="str">
        <x:v>OB013</x:v>
      </x:c>
      <x:c r="B15" s="9" t="str">
        <x:v>Perfumería</x:v>
      </x:c>
      <x:c r="C15" s="9" t="str">
        <x:v>Masculina fresca</x:v>
      </x:c>
      <x:c r="D15" s="9" t="str">
        <x:v>Acuosa</x:v>
      </x:c>
      <x:c r="E15" s="9" t="str">
        <x:v>Hombre</x:v>
      </x:c>
      <x:c r="F15" s="9" t="str">
        <x:v>Clash EDT</x:v>
      </x:c>
      <x:c r="G15" s="9" t="str">
        <x:v>100 ml</x:v>
      </x:c>
      <x:c r="H15" s="10" t="n">
        <x:v>144900</x:v>
      </x:c>
      <x:c r="I15" s="9" t="str">
        <x:v>Fougère acuoso</x:v>
      </x:c>
      <x:c r="J15" s="9" t="n">
        <x:v>3</x:v>
      </x:c>
      <x:c r="K15" s="9" t="str">
        <x:v>Frescura impactante</x:v>
      </x:c>
      <x:c r="L15" s="9" t="str">
        <x:v>Hombre activo que prioriza frescura</x:v>
      </x:c>
      <x:c r="M15" s="9" t="str">
        <x:v>Diario o clima cálido</x:v>
      </x:c>
      <x:c r="N15" s="9" t="str">
        <x:f>IF(H15&lt;=70000,"Económico",IF(H15&lt;=120000,"Medio",IF(H15&lt;=170000,"Alto","Premium")))</x:f>
        <x:v>Alto</x:v>
      </x:c>
      <x:c r="O15" s="11" t="b">
        <x:v>1</x:v>
      </x:c>
      <x:c r="P15" s="11" t="b">
        <x:v>1</x:v>
      </x:c>
      <x:c r="Q15" s="9" t="n">
        <x:v>35</x:v>
      </x:c>
      <x:c r="R15" s="9" t="str">
        <x:v>63019</x:v>
      </x:c>
      <x:c r="S15" s="9" t="str">
        <x:v>https://www.catalogoboticario.com/2026-catalogo-colombia/cat-col-t8-agosoto-2026/?page=1</x:v>
      </x:c>
      <x:c r="T15" s="12" t="n">
        <x:v>46242.208333333336</x:v>
      </x:c>
      <x:c r="U15" s="9" t="str">
        <x:v>Principal</x:v>
      </x:c>
    </x:row>
    <x:row r="16" ht="44" customHeight="1">
      <x:c r="A16" s="9" t="str">
        <x:v>OB014</x:v>
      </x:c>
      <x:c r="B16" s="9" t="str">
        <x:v>Perfumería</x:v>
      </x:c>
      <x:c r="C16" s="9" t="str">
        <x:v>Masculina fresca</x:v>
      </x:c>
      <x:c r="D16" s="9" t="str">
        <x:v>Menta fresca</x:v>
      </x:c>
      <x:c r="E16" s="9" t="str">
        <x:v>Hombre</x:v>
      </x:c>
      <x:c r="F16" s="9" t="str">
        <x:v>Botica 214 Dark Mint EDT</x:v>
      </x:c>
      <x:c r="G16" s="9" t="str">
        <x:v>90 ml</x:v>
      </x:c>
      <x:c r="H16" s="10" t="n">
        <x:v>179900</x:v>
      </x:c>
      <x:c r="I16" s="9" t="str">
        <x:v>Fougère fresco</x:v>
      </x:c>
      <x:c r="J16" s="9" t="n">
        <x:v>3</x:v>
      </x:c>
      <x:c r="K16" s="9" t="str">
        <x:v>Frescura aromática con menta</x:v>
      </x:c>
      <x:c r="L16" s="9" t="str">
        <x:v>Hombre moderno y urbano</x:v>
      </x:c>
      <x:c r="M16" s="9" t="str">
        <x:v>Diario o clima cálido</x:v>
      </x:c>
      <x:c r="N16" s="9" t="str">
        <x:f>IF(H16&lt;=70000,"Económico",IF(H16&lt;=120000,"Medio",IF(H16&lt;=170000,"Alto","Premium")))</x:f>
        <x:v>Premium</x:v>
      </x:c>
      <x:c r="O16" s="11" t="b">
        <x:v>1</x:v>
      </x:c>
      <x:c r="P16" s="11" t="b">
        <x:v>1</x:v>
      </x:c>
      <x:c r="Q16" s="9" t="n">
        <x:v>45</x:v>
      </x:c>
      <x:c r="R16" s="9" t="str">
        <x:v>47630</x:v>
      </x:c>
      <x:c r="S16" s="9" t="str">
        <x:v>https://www.catalogoboticario.com/2026-catalogo-colombia/cat-col-t8-agosoto-2026/?page=1</x:v>
      </x:c>
      <x:c r="T16" s="12" t="n">
        <x:v>46242.208333333336</x:v>
      </x:c>
      <x:c r="U16" s="9" t="str">
        <x:v>Alternativa</x:v>
      </x:c>
    </x:row>
    <x:row r="17" ht="44" customHeight="1">
      <x:c r="A17" s="9" t="str">
        <x:v>OB015</x:v>
      </x:c>
      <x:c r="B17" s="9" t="str">
        <x:v>Perfumería</x:v>
      </x:c>
      <x:c r="C17" s="9" t="str">
        <x:v>Masculina fresca</x:v>
      </x:c>
      <x:c r="D17" s="9" t="str">
        <x:v>Aromática cálida</x:v>
      </x:c>
      <x:c r="E17" s="9" t="str">
        <x:v>Hombre</x:v>
      </x:c>
      <x:c r="F17" s="9" t="str">
        <x:v>Botica 214 African Sunrise EDT</x:v>
      </x:c>
      <x:c r="G17" s="9" t="str">
        <x:v>90 ml</x:v>
      </x:c>
      <x:c r="H17" s="10" t="n">
        <x:v>179900</x:v>
      </x:c>
      <x:c r="I17" s="9" t="str">
        <x:v>Fougère</x:v>
      </x:c>
      <x:c r="J17" s="9" t="n">
        <x:v>3</x:v>
      </x:c>
      <x:c r="K17" s="9" t="str">
        <x:v>Composición aromática moderna</x:v>
      </x:c>
      <x:c r="L17" s="9" t="str">
        <x:v>Hombre sofisticado</x:v>
      </x:c>
      <x:c r="M17" s="9" t="str">
        <x:v>Diario o evento</x:v>
      </x:c>
      <x:c r="N17" s="9" t="str">
        <x:f>IF(H17&lt;=70000,"Económico",IF(H17&lt;=120000,"Medio",IF(H17&lt;=170000,"Alto","Premium")))</x:f>
        <x:v>Premium</x:v>
      </x:c>
      <x:c r="O17" s="11" t="b">
        <x:v>1</x:v>
      </x:c>
      <x:c r="P17" s="11" t="b">
        <x:v>1</x:v>
      </x:c>
      <x:c r="Q17" s="9" t="n">
        <x:v>45</x:v>
      </x:c>
      <x:c r="R17" s="9" t="str">
        <x:v>63385</x:v>
      </x:c>
      <x:c r="S17" s="9" t="str">
        <x:v>https://www.catalogoboticario.com/2026-catalogo-colombia/cat-col-t8-agosoto-2026/?page=1</x:v>
      </x:c>
      <x:c r="T17" s="12" t="n">
        <x:v>46242.208333333336</x:v>
      </x:c>
      <x:c r="U17" s="9" t="str">
        <x:v>Alternativa</x:v>
      </x:c>
    </x:row>
    <x:row r="18" ht="44" customHeight="1">
      <x:c r="A18" s="9" t="str">
        <x:v>OB016</x:v>
      </x:c>
      <x:c r="B18" s="9" t="str">
        <x:v>Perfumería</x:v>
      </x:c>
      <x:c r="C18" s="9" t="str">
        <x:v>Masculina fresca</x:v>
      </x:c>
      <x:c r="D18" s="9" t="str">
        <x:v>Aromática</x:v>
      </x:c>
      <x:c r="E18" s="9" t="str">
        <x:v>Hombre</x:v>
      </x:c>
      <x:c r="F18" s="9" t="str">
        <x:v>Botica 214 Verano en Firenze EDT</x:v>
      </x:c>
      <x:c r="G18" s="9" t="str">
        <x:v>90 ml</x:v>
      </x:c>
      <x:c r="H18" s="10" t="n">
        <x:v>179900</x:v>
      </x:c>
      <x:c r="I18" s="9" t="str">
        <x:v>Fougère aromático</x:v>
      </x:c>
      <x:c r="J18" s="9" t="n">
        <x:v>3</x:v>
      </x:c>
      <x:c r="K18" s="9" t="str">
        <x:v>Perfil aromático versátil</x:v>
      </x:c>
      <x:c r="L18" s="9" t="str">
        <x:v>Hombre que prefiere frescura elegante</x:v>
      </x:c>
      <x:c r="M18" s="9" t="str">
        <x:v>Diario</x:v>
      </x:c>
      <x:c r="N18" s="9" t="str">
        <x:f>IF(H18&lt;=70000,"Económico",IF(H18&lt;=120000,"Medio",IF(H18&lt;=170000,"Alto","Premium")))</x:f>
        <x:v>Premium</x:v>
      </x:c>
      <x:c r="O18" s="11" t="b">
        <x:v>1</x:v>
      </x:c>
      <x:c r="P18" s="11" t="b">
        <x:v>1</x:v>
      </x:c>
      <x:c r="Q18" s="9" t="n">
        <x:v>45</x:v>
      </x:c>
      <x:c r="R18" s="9" t="str">
        <x:v>47552</x:v>
      </x:c>
      <x:c r="S18" s="9" t="str">
        <x:v>https://www.catalogoboticario.com/2026-catalogo-colombia/cat-col-t8-agosoto-2026/?page=1</x:v>
      </x:c>
      <x:c r="T18" s="12" t="n">
        <x:v>46242.208333333336</x:v>
      </x:c>
      <x:c r="U18" s="9" t="str">
        <x:v>Alternativa</x:v>
      </x:c>
    </x:row>
    <x:row r="19" ht="44" customHeight="1">
      <x:c r="A19" s="9" t="str">
        <x:v>OB017</x:v>
      </x:c>
      <x:c r="B19" s="9" t="str">
        <x:v>Cuidado corporal</x:v>
      </x:c>
      <x:c r="C19" s="9" t="str">
        <x:v>Loción corporal</x:v>
      </x:c>
      <x:c r="D19" s="9" t="str">
        <x:v>Floral luminosa</x:v>
      </x:c>
      <x:c r="E19" s="9" t="str">
        <x:v>Unisex</x:v>
      </x:c>
      <x:c r="F19" s="9" t="str">
        <x:v>Nativa SPA Loción hidratante Orquídea Lumière</x:v>
      </x:c>
      <x:c r="G19" s="9" t="str">
        <x:v>400 ml</x:v>
      </x:c>
      <x:c r="H19" s="10" t="n">
        <x:v>79900</x:v>
      </x:c>
      <x:c r="I19" s="9" t="str">
        <x:v>Floral ambarada</x:v>
      </x:c>
      <x:c r="J19" s="9" t="n">
        <x:v>3</x:v>
      </x:c>
      <x:c r="K19" s="9" t="str">
        <x:v>Hidratación y sensación radiante</x:v>
      </x:c>
      <x:c r="L19" s="9" t="str">
        <x:v>Piel normal a seca; aroma floral</x:v>
      </x:c>
      <x:c r="M19" s="9" t="str">
        <x:v>Diario</x:v>
      </x:c>
      <x:c r="N19" s="9" t="str">
        <x:f>IF(H19&lt;=70000,"Económico",IF(H19&lt;=120000,"Medio",IF(H19&lt;=170000,"Alto","Premium")))</x:f>
        <x:v>Medio</x:v>
      </x:c>
      <x:c r="O19" s="11" t="b">
        <x:v>1</x:v>
      </x:c>
      <x:c r="P19" s="11" t="b">
        <x:v>1</x:v>
      </x:c>
      <x:c r="Q19" s="9" t="n">
        <x:v>70</x:v>
      </x:c>
      <x:c r="R19" s="9" t="str">
        <x:v>62503</x:v>
      </x:c>
      <x:c r="S19" s="9" t="str">
        <x:v>https://www.catalogoboticario.com/2026-catalogo-colombia/cat-col-t8-agosoto-2026/?page=1</x:v>
      </x:c>
      <x:c r="T19" s="12" t="n">
        <x:v>46242.208333333336</x:v>
      </x:c>
      <x:c r="U19" s="9" t="str">
        <x:v>Principal</x:v>
      </x:c>
    </x:row>
    <x:row r="20" ht="44" customHeight="1">
      <x:c r="A20" s="9" t="str">
        <x:v>OB018</x:v>
      </x:c>
      <x:c r="B20" s="9" t="str">
        <x:v>Cuidado corporal</x:v>
      </x:c>
      <x:c r="C20" s="9" t="str">
        <x:v>Loción corporal</x:v>
      </x:c>
      <x:c r="D20" s="9" t="str">
        <x:v>Frutal reafirmante</x:v>
      </x:c>
      <x:c r="E20" s="9" t="str">
        <x:v>Unisex</x:v>
      </x:c>
      <x:c r="F20" s="9" t="str">
        <x:v>Nativa SPA Loción hidratante Cereja Rouge</x:v>
      </x:c>
      <x:c r="G20" s="9" t="str">
        <x:v>400 ml</x:v>
      </x:c>
      <x:c r="H20" s="10" t="n">
        <x:v>79900</x:v>
      </x:c>
      <x:c r="I20" s="9" t="str">
        <x:v>Oriental frutal</x:v>
      </x:c>
      <x:c r="J20" s="9" t="n">
        <x:v>4</x:v>
      </x:c>
      <x:c r="K20" s="9" t="str">
        <x:v>Textura y firmeza de la piel</x:v>
      </x:c>
      <x:c r="L20" s="9" t="str">
        <x:v>Piel que busca hidratación reafirmante</x:v>
      </x:c>
      <x:c r="M20" s="9" t="str">
        <x:v>Diario</x:v>
      </x:c>
      <x:c r="N20" s="9" t="str">
        <x:f>IF(H20&lt;=70000,"Económico",IF(H20&lt;=120000,"Medio",IF(H20&lt;=170000,"Alto","Premium")))</x:f>
        <x:v>Medio</x:v>
      </x:c>
      <x:c r="O20" s="11" t="b">
        <x:v>1</x:v>
      </x:c>
      <x:c r="P20" s="11" t="b">
        <x:v>1</x:v>
      </x:c>
      <x:c r="Q20" s="9" t="n">
        <x:v>72</x:v>
      </x:c>
      <x:c r="R20" s="9" t="str">
        <x:v>62200</x:v>
      </x:c>
      <x:c r="S20" s="9" t="str">
        <x:v>https://www.catalogoboticario.com/2026-catalogo-colombia/cat-col-t8-agosoto-2026/?page=1</x:v>
      </x:c>
      <x:c r="T20" s="12" t="n">
        <x:v>46242.208333333336</x:v>
      </x:c>
      <x:c r="U20" s="9" t="str">
        <x:v>Alternativa</x:v>
      </x:c>
    </x:row>
    <x:row r="21" ht="44" customHeight="1">
      <x:c r="A21" s="9" t="str">
        <x:v>OB019</x:v>
      </x:c>
      <x:c r="B21" s="9" t="str">
        <x:v>Cuidado corporal</x:v>
      </x:c>
      <x:c r="C21" s="9" t="str">
        <x:v>Loción corporal</x:v>
      </x:c>
      <x:c r="D21" s="9" t="str">
        <x:v>Floral regeneradora</x:v>
      </x:c>
      <x:c r="E21" s="9" t="str">
        <x:v>Unisex</x:v>
      </x:c>
      <x:c r="F21" s="9" t="str">
        <x:v>Nativa SPA Loción hidratante Lilac</x:v>
      </x:c>
      <x:c r="G21" s="9" t="str">
        <x:v>400 ml</x:v>
      </x:c>
      <x:c r="H21" s="10" t="n">
        <x:v>79900</x:v>
      </x:c>
      <x:c r="I21" s="9" t="str">
        <x:v>Floral floral</x:v>
      </x:c>
      <x:c r="J21" s="9" t="n">
        <x:v>2</x:v>
      </x:c>
      <x:c r="K21" s="9" t="str">
        <x:v>Hidratación y regeneración</x:v>
      </x:c>
      <x:c r="L21" s="9" t="str">
        <x:v>Piel que busca suavidad y aroma delicado</x:v>
      </x:c>
      <x:c r="M21" s="9" t="str">
        <x:v>Diario</x:v>
      </x:c>
      <x:c r="N21" s="9" t="str">
        <x:f>IF(H21&lt;=70000,"Económico",IF(H21&lt;=120000,"Medio",IF(H21&lt;=170000,"Alto","Premium")))</x:f>
        <x:v>Medio</x:v>
      </x:c>
      <x:c r="O21" s="11" t="b">
        <x:v>1</x:v>
      </x:c>
      <x:c r="P21" s="11" t="b">
        <x:v>1</x:v>
      </x:c>
      <x:c r="Q21" s="9" t="n">
        <x:v>76</x:v>
      </x:c>
      <x:c r="R21" s="9" t="str">
        <x:v>63108</x:v>
      </x:c>
      <x:c r="S21" s="9" t="str">
        <x:v>https://www.catalogoboticario.com/2026-catalogo-colombia/cat-col-t8-agosoto-2026/?page=1</x:v>
      </x:c>
      <x:c r="T21" s="12" t="n">
        <x:v>46242.208333333336</x:v>
      </x:c>
      <x:c r="U21" s="9" t="str">
        <x:v>Alternativa</x:v>
      </x:c>
    </x:row>
    <x:row r="22" ht="44" customHeight="1">
      <x:c r="A22" s="9" t="str">
        <x:v>OB020</x:v>
      </x:c>
      <x:c r="B22" s="9" t="str">
        <x:v>Cuidado corporal</x:v>
      </x:c>
      <x:c r="C22" s="9" t="str">
        <x:v>Loción corporal</x:v>
      </x:c>
      <x:c r="D22" s="9" t="str">
        <x:v>Frutal intensa</x:v>
      </x:c>
      <x:c r="E22" s="9" t="str">
        <x:v>Unisex</x:v>
      </x:c>
      <x:c r="F22" s="9" t="str">
        <x:v>Nativa SPA Loción hidratante Ameixa</x:v>
      </x:c>
      <x:c r="G22" s="9" t="str">
        <x:v>400 ml</x:v>
      </x:c>
      <x:c r="H22" s="10" t="n">
        <x:v>79900</x:v>
      </x:c>
      <x:c r="I22" s="9" t="str">
        <x:v>Oriental frutal</x:v>
      </x:c>
      <x:c r="J22" s="9" t="n">
        <x:v>5</x:v>
      </x:c>
      <x:c r="K22" s="9" t="str">
        <x:v>Hidratación profunda y aroma marcante</x:v>
      </x:c>
      <x:c r="L22" s="9" t="str">
        <x:v>Piel seca; preferencia por ciruela</x:v>
      </x:c>
      <x:c r="M22" s="9" t="str">
        <x:v>Diario</x:v>
      </x:c>
      <x:c r="N22" s="9" t="str">
        <x:f>IF(H22&lt;=70000,"Económico",IF(H22&lt;=120000,"Medio",IF(H22&lt;=170000,"Alto","Premium")))</x:f>
        <x:v>Medio</x:v>
      </x:c>
      <x:c r="O22" s="11" t="b">
        <x:v>1</x:v>
      </x:c>
      <x:c r="P22" s="11" t="b">
        <x:v>1</x:v>
      </x:c>
      <x:c r="Q22" s="9" t="n">
        <x:v>81</x:v>
      </x:c>
      <x:c r="R22" s="9" t="str">
        <x:v>62580</x:v>
      </x:c>
      <x:c r="S22" s="9" t="str">
        <x:v>https://www.catalogoboticario.com/2026-catalogo-colombia/cat-col-t8-agosoto-2026/?page=1</x:v>
      </x:c>
      <x:c r="T22" s="12" t="n">
        <x:v>46242.208333333336</x:v>
      </x:c>
      <x:c r="U22" s="9" t="str">
        <x:v>Alternativa</x:v>
      </x:c>
    </x:row>
    <x:row r="23" ht="44" customHeight="1">
      <x:c r="A23" s="9" t="str">
        <x:v>OB021</x:v>
      </x:c>
      <x:c r="B23" s="9" t="str">
        <x:v>Cuidado corporal</x:v>
      </x:c>
      <x:c r="C23" s="9" t="str">
        <x:v>Body splash</x:v>
      </x:c>
      <x:c r="D23" s="9" t="str">
        <x:v>Frutal rojiza</x:v>
      </x:c>
      <x:c r="E23" s="9" t="str">
        <x:v>Unisex</x:v>
      </x:c>
      <x:c r="F23" s="9" t="str">
        <x:v>Nativa SPA Body Splash Cereja Rouge</x:v>
      </x:c>
      <x:c r="G23" s="9" t="str">
        <x:v>200 ml</x:v>
      </x:c>
      <x:c r="H23" s="10" t="n">
        <x:v>75900</x:v>
      </x:c>
      <x:c r="I23" s="9" t="str">
        <x:v>Oriental frutal</x:v>
      </x:c>
      <x:c r="J23" s="9" t="n">
        <x:v>4</x:v>
      </x:c>
      <x:c r="K23" s="9" t="str">
        <x:v>Perfumación corporal marcante</x:v>
      </x:c>
      <x:c r="L23" s="9" t="str">
        <x:v>Quien desea reaplicar aroma durante el día</x:v>
      </x:c>
      <x:c r="M23" s="9" t="str">
        <x:v>Reaplicar durante el día</x:v>
      </x:c>
      <x:c r="N23" s="9" t="str">
        <x:f>IF(H23&lt;=70000,"Económico",IF(H23&lt;=120000,"Medio",IF(H23&lt;=170000,"Alto","Premium")))</x:f>
        <x:v>Medio</x:v>
      </x:c>
      <x:c r="O23" s="11" t="b">
        <x:v>1</x:v>
      </x:c>
      <x:c r="P23" s="11" t="b">
        <x:v>1</x:v>
      </x:c>
      <x:c r="Q23" s="9" t="n">
        <x:v>73</x:v>
      </x:c>
      <x:c r="R23" s="9" t="str">
        <x:v>68465</x:v>
      </x:c>
      <x:c r="S23" s="9" t="str">
        <x:v>https://www.catalogoboticario.com/2026-catalogo-colombia/cat-col-t8-agosoto-2026/?page=1</x:v>
      </x:c>
      <x:c r="T23" s="12" t="n">
        <x:v>46242.208333333336</x:v>
      </x:c>
      <x:c r="U23" s="9" t="str">
        <x:v>Principal</x:v>
      </x:c>
    </x:row>
    <x:row r="24" ht="44" customHeight="1">
      <x:c r="A24" s="9" t="str">
        <x:v>OB022</x:v>
      </x:c>
      <x:c r="B24" s="9" t="str">
        <x:v>Cuidado corporal</x:v>
      </x:c>
      <x:c r="C24" s="9" t="str">
        <x:v>Body splash</x:v>
      </x:c>
      <x:c r="D24" s="9" t="str">
        <x:v>Floral regenerador</x:v>
      </x:c>
      <x:c r="E24" s="9" t="str">
        <x:v>Unisex</x:v>
      </x:c>
      <x:c r="F24" s="9" t="str">
        <x:v>Nativa SPA Body Splash Lilac</x:v>
      </x:c>
      <x:c r="G24" s="9" t="str">
        <x:v>200 ml</x:v>
      </x:c>
      <x:c r="H24" s="10" t="n">
        <x:v>75900</x:v>
      </x:c>
      <x:c r="I24" s="9" t="str">
        <x:v>Floral floral</x:v>
      </x:c>
      <x:c r="J24" s="9" t="n">
        <x:v>2</x:v>
      </x:c>
      <x:c r="K24" s="9" t="str">
        <x:v>Perfumación suave y delicada</x:v>
      </x:c>
      <x:c r="L24" s="9" t="str">
        <x:v>Quien prefiere un aroma corporal ligero</x:v>
      </x:c>
      <x:c r="M24" s="9" t="str">
        <x:v>Reaplicar durante el día</x:v>
      </x:c>
      <x:c r="N24" s="9" t="str">
        <x:f>IF(H24&lt;=70000,"Económico",IF(H24&lt;=120000,"Medio",IF(H24&lt;=170000,"Alto","Premium")))</x:f>
        <x:v>Medio</x:v>
      </x:c>
      <x:c r="O24" s="11" t="b">
        <x:v>1</x:v>
      </x:c>
      <x:c r="P24" s="11" t="b">
        <x:v>1</x:v>
      </x:c>
      <x:c r="Q24" s="9" t="n">
        <x:v>76</x:v>
      </x:c>
      <x:c r="R24" s="9" t="str">
        <x:v>63788</x:v>
      </x:c>
      <x:c r="S24" s="9" t="str">
        <x:v>https://www.catalogoboticario.com/2026-catalogo-colombia/cat-col-t8-agosoto-2026/?page=1</x:v>
      </x:c>
      <x:c r="T24" s="12" t="n">
        <x:v>46242.208333333336</x:v>
      </x:c>
      <x:c r="U24" s="9" t="str">
        <x:v>Alternativa</x:v>
      </x:c>
    </x:row>
    <x:row r="25" ht="44" customHeight="1">
      <x:c r="A25" s="9" t="str">
        <x:v>OB023</x:v>
      </x:c>
      <x:c r="B25" s="9" t="str">
        <x:v>Cuidado corporal</x:v>
      </x:c>
      <x:c r="C25" s="9" t="str">
        <x:v>Body splash</x:v>
      </x:c>
      <x:c r="D25" s="9" t="str">
        <x:v>Frutal intenso</x:v>
      </x:c>
      <x:c r="E25" s="9" t="str">
        <x:v>Unisex</x:v>
      </x:c>
      <x:c r="F25" s="9" t="str">
        <x:v>Nativa SPA Body Splash Ameixa</x:v>
      </x:c>
      <x:c r="G25" s="9" t="str">
        <x:v>200 ml</x:v>
      </x:c>
      <x:c r="H25" s="10" t="n">
        <x:v>75900</x:v>
      </x:c>
      <x:c r="I25" s="9" t="str">
        <x:v>Oriental frutal</x:v>
      </x:c>
      <x:c r="J25" s="9" t="n">
        <x:v>5</x:v>
      </x:c>
      <x:c r="K25" s="9" t="str">
        <x:v>Perfumación de ciruela marcante</x:v>
      </x:c>
      <x:c r="L25" s="9" t="str">
        <x:v>Quien disfruta aromas intensos</x:v>
      </x:c>
      <x:c r="M25" s="9" t="str">
        <x:v>Reaplicar durante el día</x:v>
      </x:c>
      <x:c r="N25" s="9" t="str">
        <x:f>IF(H25&lt;=70000,"Económico",IF(H25&lt;=120000,"Medio",IF(H25&lt;=170000,"Alto","Premium")))</x:f>
        <x:v>Medio</x:v>
      </x:c>
      <x:c r="O25" s="11" t="b">
        <x:v>1</x:v>
      </x:c>
      <x:c r="P25" s="11" t="b">
        <x:v>1</x:v>
      </x:c>
      <x:c r="Q25" s="9" t="n">
        <x:v>82</x:v>
      </x:c>
      <x:c r="R25" s="9" t="str">
        <x:v>61536</x:v>
      </x:c>
      <x:c r="S25" s="9" t="str">
        <x:v>https://www.catalogoboticario.com/2026-catalogo-colombia/cat-col-t8-agosoto-2026/?page=1</x:v>
      </x:c>
      <x:c r="T25" s="12" t="n">
        <x:v>46242.208333333336</x:v>
      </x:c>
      <x:c r="U25" s="9" t="str">
        <x:v>Alternativa</x:v>
      </x:c>
    </x:row>
    <x:row r="26" ht="44" customHeight="1">
      <x:c r="A26" s="9" t="str">
        <x:v>OB024</x:v>
      </x:c>
      <x:c r="B26" s="9" t="str">
        <x:v>Cuidado corporal</x:v>
      </x:c>
      <x:c r="C26" s="9" t="str">
        <x:v>Body splash</x:v>
      </x:c>
      <x:c r="D26" s="9" t="str">
        <x:v>Floral frutal</x:v>
      </x:c>
      <x:c r="E26" s="9" t="str">
        <x:v>Unisex</x:v>
      </x:c>
      <x:c r="F26" s="9" t="str">
        <x:v>Nativa SPA Body Splash Açaí</x:v>
      </x:c>
      <x:c r="G26" s="9" t="str">
        <x:v>200 ml</x:v>
      </x:c>
      <x:c r="H26" s="10" t="n">
        <x:v>75900</x:v>
      </x:c>
      <x:c r="I26" s="9" t="str">
        <x:v>Frutal floral</x:v>
      </x:c>
      <x:c r="J26" s="9" t="n">
        <x:v>3</x:v>
      </x:c>
      <x:c r="K26" s="9" t="str">
        <x:v>Perfumación frutal antioxidante</x:v>
      </x:c>
      <x:c r="L26" s="9" t="str">
        <x:v>Quien quiere frescura frutal</x:v>
      </x:c>
      <x:c r="M26" s="9" t="str">
        <x:v>Reaplicar durante el día</x:v>
      </x:c>
      <x:c r="N26" s="9" t="str">
        <x:f>IF(H26&lt;=70000,"Económico",IF(H26&lt;=120000,"Medio",IF(H26&lt;=170000,"Alto","Premium")))</x:f>
        <x:v>Medio</x:v>
      </x:c>
      <x:c r="O26" s="11" t="b">
        <x:v>1</x:v>
      </x:c>
      <x:c r="P26" s="11" t="b">
        <x:v>1</x:v>
      </x:c>
      <x:c r="Q26" s="9" t="n">
        <x:v>86</x:v>
      </x:c>
      <x:c r="R26" s="9" t="str">
        <x:v>60269</x:v>
      </x:c>
      <x:c r="S26" s="9" t="str">
        <x:v>https://www.catalogoboticario.com/2026-catalogo-colombia/cat-col-t8-agosoto-2026/?page=1</x:v>
      </x:c>
      <x:c r="T26" s="12" t="n">
        <x:v>46242.208333333336</x:v>
      </x:c>
      <x:c r="U26" s="9" t="str">
        <x:v>Alternativa</x:v>
      </x:c>
    </x:row>
    <x:row r="27" ht="44" customHeight="1">
      <x:c r="A27" s="9" t="str">
        <x:v>OB025</x:v>
      </x:c>
      <x:c r="B27" s="9" t="str">
        <x:v>Cuidado corporal</x:v>
      </x:c>
      <x:c r="C27" s="9" t="str">
        <x:v>Óleo corporal</x:v>
      </x:c>
      <x:c r="D27" s="9" t="str">
        <x:v>Floral luminosa</x:v>
      </x:c>
      <x:c r="E27" s="9" t="str">
        <x:v>Unisex</x:v>
      </x:c>
      <x:c r="F27" s="9" t="str">
        <x:v>Nativa SPA Óleo hidratante Orquídea Lumière</x:v>
      </x:c>
      <x:c r="G27" s="9" t="str">
        <x:v>200 ml</x:v>
      </x:c>
      <x:c r="H27" s="10" t="n">
        <x:v>75900</x:v>
      </x:c>
      <x:c r="I27" s="9" t="str">
        <x:v>Floral ambarada</x:v>
      </x:c>
      <x:c r="J27" s="9" t="n">
        <x:v>3</x:v>
      </x:c>
      <x:c r="K27" s="9" t="str">
        <x:v>Nutrición y luminosidad</x:v>
      </x:c>
      <x:c r="L27" s="9" t="str">
        <x:v>Piel seca que disfruta óleo corporal</x:v>
      </x:c>
      <x:c r="M27" s="9" t="str">
        <x:v>Después del baño</x:v>
      </x:c>
      <x:c r="N27" s="9" t="str">
        <x:f>IF(H27&lt;=70000,"Económico",IF(H27&lt;=120000,"Medio",IF(H27&lt;=170000,"Alto","Premium")))</x:f>
        <x:v>Medio</x:v>
      </x:c>
      <x:c r="O27" s="11" t="b">
        <x:v>1</x:v>
      </x:c>
      <x:c r="P27" s="11" t="b">
        <x:v>1</x:v>
      </x:c>
      <x:c r="Q27" s="9" t="n">
        <x:v>70</x:v>
      </x:c>
      <x:c r="R27" s="9" t="str">
        <x:v>63672</x:v>
      </x:c>
      <x:c r="S27" s="9" t="str">
        <x:v>https://www.catalogoboticario.com/2026-catalogo-colombia/cat-col-t8-agosoto-2026/?page=1</x:v>
      </x:c>
      <x:c r="T27" s="12" t="n">
        <x:v>46242.208333333336</x:v>
      </x:c>
      <x:c r="U27" s="9" t="str">
        <x:v>Principal</x:v>
      </x:c>
    </x:row>
    <x:row r="28" ht="44" customHeight="1">
      <x:c r="A28" s="9" t="str">
        <x:v>OB026</x:v>
      </x:c>
      <x:c r="B28" s="9" t="str">
        <x:v>Cuidado corporal</x:v>
      </x:c>
      <x:c r="C28" s="9" t="str">
        <x:v>Óleo corporal</x:v>
      </x:c>
      <x:c r="D28" s="9" t="str">
        <x:v>Frutal vinosa</x:v>
      </x:c>
      <x:c r="E28" s="9" t="str">
        <x:v>Unisex</x:v>
      </x:c>
      <x:c r="F28" s="9" t="str">
        <x:v>Nativa SPA Óleo hidratante Uva Merlot</x:v>
      </x:c>
      <x:c r="G28" s="9" t="str">
        <x:v>200 ml</x:v>
      </x:c>
      <x:c r="H28" s="10" t="n">
        <x:v>75900</x:v>
      </x:c>
      <x:c r="I28" s="9" t="str">
        <x:v>Amaderada frutal</x:v>
      </x:c>
      <x:c r="J28" s="9" t="n">
        <x:v>4</x:v>
      </x:c>
      <x:c r="K28" s="9" t="str">
        <x:v>Nutrición con aroma de uva</x:v>
      </x:c>
      <x:c r="L28" s="9" t="str">
        <x:v>Piel seca; aroma frutal sofisticado</x:v>
      </x:c>
      <x:c r="M28" s="9" t="str">
        <x:v>Después del baño</x:v>
      </x:c>
      <x:c r="N28" s="9" t="str">
        <x:f>IF(H28&lt;=70000,"Económico",IF(H28&lt;=120000,"Medio",IF(H28&lt;=170000,"Alto","Premium")))</x:f>
        <x:v>Medio</x:v>
      </x:c>
      <x:c r="O28" s="11" t="b">
        <x:v>1</x:v>
      </x:c>
      <x:c r="P28" s="11" t="b">
        <x:v>1</x:v>
      </x:c>
      <x:c r="Q28" s="9" t="n">
        <x:v>74</x:v>
      </x:c>
      <x:c r="R28" s="9" t="str">
        <x:v>63734</x:v>
      </x:c>
      <x:c r="S28" s="9" t="str">
        <x:v>https://www.catalogoboticario.com/2026-catalogo-colombia/cat-col-t8-agosoto-2026/?page=1</x:v>
      </x:c>
      <x:c r="T28" s="12" t="n">
        <x:v>46242.208333333336</x:v>
      </x:c>
      <x:c r="U28" s="9" t="str">
        <x:v>Alternativa</x:v>
      </x:c>
    </x:row>
    <x:row r="29" ht="44" customHeight="1">
      <x:c r="A29" s="9" t="str">
        <x:v>OB027</x:v>
      </x:c>
      <x:c r="B29" s="9" t="str">
        <x:v>Cuidado corporal</x:v>
      </x:c>
      <x:c r="C29" s="9" t="str">
        <x:v>Óleo corporal</x:v>
      </x:c>
      <x:c r="D29" s="9" t="str">
        <x:v>Frutal intenso</x:v>
      </x:c>
      <x:c r="E29" s="9" t="str">
        <x:v>Unisex</x:v>
      </x:c>
      <x:c r="F29" s="9" t="str">
        <x:v>Nativa SPA Óleo hidratante Ameixa</x:v>
      </x:c>
      <x:c r="G29" s="9" t="str">
        <x:v>200 ml</x:v>
      </x:c>
      <x:c r="H29" s="10" t="n">
        <x:v>75900</x:v>
      </x:c>
      <x:c r="I29" s="9" t="str">
        <x:v>Oriental frutal</x:v>
      </x:c>
      <x:c r="J29" s="9" t="n">
        <x:v>5</x:v>
      </x:c>
      <x:c r="K29" s="9" t="str">
        <x:v>Nutrición y aroma marcante</x:v>
      </x:c>
      <x:c r="L29" s="9" t="str">
        <x:v>Piel seca que prefiere ciruela</x:v>
      </x:c>
      <x:c r="M29" s="9" t="str">
        <x:v>Después del baño</x:v>
      </x:c>
      <x:c r="N29" s="9" t="str">
        <x:f>IF(H29&lt;=70000,"Económico",IF(H29&lt;=120000,"Medio",IF(H29&lt;=170000,"Alto","Premium")))</x:f>
        <x:v>Medio</x:v>
      </x:c>
      <x:c r="O29" s="11" t="b">
        <x:v>1</x:v>
      </x:c>
      <x:c r="P29" s="11" t="b">
        <x:v>1</x:v>
      </x:c>
      <x:c r="Q29" s="9" t="n">
        <x:v>81</x:v>
      </x:c>
      <x:c r="R29" s="9" t="str">
        <x:v>62602</x:v>
      </x:c>
      <x:c r="S29" s="9" t="str">
        <x:v>https://www.catalogoboticario.com/2026-catalogo-colombia/cat-col-t8-agosoto-2026/?page=1</x:v>
      </x:c>
      <x:c r="T29" s="12" t="n">
        <x:v>46242.208333333336</x:v>
      </x:c>
      <x:c r="U29" s="9" t="str">
        <x:v>Alternativa</x:v>
      </x:c>
    </x:row>
    <x:row r="30" ht="44" customHeight="1">
      <x:c r="A30" s="9" t="str">
        <x:v>OB028</x:v>
      </x:c>
      <x:c r="B30" s="9" t="str">
        <x:v>Cuidado corporal</x:v>
      </x:c>
      <x:c r="C30" s="9" t="str">
        <x:v>Óleo corporal</x:v>
      </x:c>
      <x:c r="D30" s="9" t="str">
        <x:v>Antioxidante</x:v>
      </x:c>
      <x:c r="E30" s="9" t="str">
        <x:v>Unisex</x:v>
      </x:c>
      <x:c r="F30" s="9" t="str">
        <x:v>Nativa SPA Óleo hidratante Açaí</x:v>
      </x:c>
      <x:c r="G30" s="9" t="str">
        <x:v>200 ml</x:v>
      </x:c>
      <x:c r="H30" s="10" t="n">
        <x:v>75900</x:v>
      </x:c>
      <x:c r="I30" s="9" t="str">
        <x:v>Frutal floral</x:v>
      </x:c>
      <x:c r="J30" s="9" t="n">
        <x:v>3</x:v>
      </x:c>
      <x:c r="K30" s="9" t="str">
        <x:v>Hidratación con acción antioxidante</x:v>
      </x:c>
      <x:c r="L30" s="9" t="str">
        <x:v>Piel que busca nutrición y aroma frutal</x:v>
      </x:c>
      <x:c r="M30" s="9" t="str">
        <x:v>Después del baño</x:v>
      </x:c>
      <x:c r="N30" s="9" t="str">
        <x:f>IF(H30&lt;=70000,"Económico",IF(H30&lt;=120000,"Medio",IF(H30&lt;=170000,"Alto","Premium")))</x:f>
        <x:v>Medio</x:v>
      </x:c>
      <x:c r="O30" s="11" t="b">
        <x:v>1</x:v>
      </x:c>
      <x:c r="P30" s="11" t="b">
        <x:v>1</x:v>
      </x:c>
      <x:c r="Q30" s="9" t="n">
        <x:v>86</x:v>
      </x:c>
      <x:c r="R30" s="9" t="str">
        <x:v>63585</x:v>
      </x:c>
      <x:c r="S30" s="9" t="str">
        <x:v>https://www.catalogoboticario.com/2026-catalogo-colombia/cat-col-t8-agosoto-2026/?page=1</x:v>
      </x:c>
      <x:c r="T30" s="12" t="n">
        <x:v>46242.208333333336</x:v>
      </x:c>
      <x:c r="U30" s="9" t="str">
        <x:v>Alternativa</x:v>
      </x:c>
    </x:row>
    <x:row r="31" ht="44" customHeight="1">
      <x:c r="A31" s="9" t="str">
        <x:v>OB029</x:v>
      </x:c>
      <x:c r="B31" s="9" t="str">
        <x:v>Cuidado corporal</x:v>
      </x:c>
      <x:c r="C31" s="9" t="str">
        <x:v>Jabón líquido corporal</x:v>
      </x:c>
      <x:c r="D31" s="9" t="str">
        <x:v>Floral luminoso</x:v>
      </x:c>
      <x:c r="E31" s="9" t="str">
        <x:v>Unisex</x:v>
      </x:c>
      <x:c r="F31" s="9" t="str">
        <x:v>Nativa SPA Jabón líquido corporal Orquídea Lumière</x:v>
      </x:c>
      <x:c r="G31" s="9" t="str">
        <x:v>250 ml</x:v>
      </x:c>
      <x:c r="H31" s="10" t="n">
        <x:v>67900</x:v>
      </x:c>
      <x:c r="I31" s="9" t="str">
        <x:v>Floral ambarada</x:v>
      </x:c>
      <x:c r="J31" s="9" t="n">
        <x:v>3</x:v>
      </x:c>
      <x:c r="K31" s="9" t="str">
        <x:v>Limpieza perfumada</x:v>
      </x:c>
      <x:c r="L31" s="9" t="str">
        <x:v>Rutina corporal floral</x:v>
      </x:c>
      <x:c r="M31" s="9" t="str">
        <x:v>Baño diario</x:v>
      </x:c>
      <x:c r="N31" s="9" t="str">
        <x:f>IF(H31&lt;=70000,"Económico",IF(H31&lt;=120000,"Medio",IF(H31&lt;=170000,"Alto","Premium")))</x:f>
        <x:v>Económico</x:v>
      </x:c>
      <x:c r="O31" s="11" t="b">
        <x:v>1</x:v>
      </x:c>
      <x:c r="P31" s="11" t="b">
        <x:v>1</x:v>
      </x:c>
      <x:c r="Q31" s="9" t="n">
        <x:v>70</x:v>
      </x:c>
      <x:c r="R31" s="9" t="str">
        <x:v>59890</x:v>
      </x:c>
      <x:c r="S31" s="9" t="str">
        <x:v>https://www.catalogoboticario.com/2026-catalogo-colombia/cat-col-t8-agosoto-2026/?page=1</x:v>
      </x:c>
      <x:c r="T31" s="12" t="n">
        <x:v>46242.208333333336</x:v>
      </x:c>
      <x:c r="U31" s="9" t="str">
        <x:v>Principal</x:v>
      </x:c>
    </x:row>
    <x:row r="32" ht="44" customHeight="1">
      <x:c r="A32" s="9" t="str">
        <x:v>OB030</x:v>
      </x:c>
      <x:c r="B32" s="9" t="str">
        <x:v>Cuidado corporal</x:v>
      </x:c>
      <x:c r="C32" s="9" t="str">
        <x:v>Jabón líquido corporal</x:v>
      </x:c>
      <x:c r="D32" s="9" t="str">
        <x:v>Frutal rojizo</x:v>
      </x:c>
      <x:c r="E32" s="9" t="str">
        <x:v>Unisex</x:v>
      </x:c>
      <x:c r="F32" s="9" t="str">
        <x:v>Nativa SPA Jabón líquido corporal Cereja Rouge</x:v>
      </x:c>
      <x:c r="G32" s="9" t="str">
        <x:v>250 ml</x:v>
      </x:c>
      <x:c r="H32" s="10" t="n">
        <x:v>67900</x:v>
      </x:c>
      <x:c r="I32" s="9" t="str">
        <x:v>Oriental frutal</x:v>
      </x:c>
      <x:c r="J32" s="9" t="n">
        <x:v>4</x:v>
      </x:c>
      <x:c r="K32" s="9" t="str">
        <x:v>Limpieza con aroma marcante</x:v>
      </x:c>
      <x:c r="L32" s="9" t="str">
        <x:v>Rutina corporal frutal</x:v>
      </x:c>
      <x:c r="M32" s="9" t="str">
        <x:v>Baño diario</x:v>
      </x:c>
      <x:c r="N32" s="9" t="str">
        <x:f>IF(H32&lt;=70000,"Económico",IF(H32&lt;=120000,"Medio",IF(H32&lt;=170000,"Alto","Premium")))</x:f>
        <x:v>Económico</x:v>
      </x:c>
      <x:c r="O32" s="11" t="b">
        <x:v>1</x:v>
      </x:c>
      <x:c r="P32" s="11" t="b">
        <x:v>1</x:v>
      </x:c>
      <x:c r="Q32" s="9" t="n">
        <x:v>72</x:v>
      </x:c>
      <x:c r="R32" s="9" t="str">
        <x:v>67833</x:v>
      </x:c>
      <x:c r="S32" s="9" t="str">
        <x:v>https://www.catalogoboticario.com/2026-catalogo-colombia/cat-col-t8-agosoto-2026/?page=1</x:v>
      </x:c>
      <x:c r="T32" s="12" t="n">
        <x:v>46242.208333333336</x:v>
      </x:c>
      <x:c r="U32" s="9" t="str">
        <x:v>Alternativa</x:v>
      </x:c>
    </x:row>
    <x:row r="33" ht="44" customHeight="1">
      <x:c r="A33" s="9" t="str">
        <x:v>OB031</x:v>
      </x:c>
      <x:c r="B33" s="9" t="str">
        <x:v>Cuidado corporal</x:v>
      </x:c>
      <x:c r="C33" s="9" t="str">
        <x:v>Jabón líquido corporal</x:v>
      </x:c>
      <x:c r="D33" s="9" t="str">
        <x:v>Frutal vinosa</x:v>
      </x:c>
      <x:c r="E33" s="9" t="str">
        <x:v>Unisex</x:v>
      </x:c>
      <x:c r="F33" s="9" t="str">
        <x:v>Nativa SPA Jabón líquido corporal Uva Merlot</x:v>
      </x:c>
      <x:c r="G33" s="9" t="str">
        <x:v>250 ml</x:v>
      </x:c>
      <x:c r="H33" s="10" t="n">
        <x:v>67900</x:v>
      </x:c>
      <x:c r="I33" s="9" t="str">
        <x:v>Amaderada frutal</x:v>
      </x:c>
      <x:c r="J33" s="9" t="n">
        <x:v>4</x:v>
      </x:c>
      <x:c r="K33" s="9" t="str">
        <x:v>Limpieza con aroma sofisticado</x:v>
      </x:c>
      <x:c r="L33" s="9" t="str">
        <x:v>Rutina corporal aromática</x:v>
      </x:c>
      <x:c r="M33" s="9" t="str">
        <x:v>Baño diario</x:v>
      </x:c>
      <x:c r="N33" s="9" t="str">
        <x:f>IF(H33&lt;=70000,"Económico",IF(H33&lt;=120000,"Medio",IF(H33&lt;=170000,"Alto","Premium")))</x:f>
        <x:v>Económico</x:v>
      </x:c>
      <x:c r="O33" s="11" t="b">
        <x:v>1</x:v>
      </x:c>
      <x:c r="P33" s="11" t="b">
        <x:v>1</x:v>
      </x:c>
      <x:c r="Q33" s="9" t="n">
        <x:v>74</x:v>
      </x:c>
      <x:c r="R33" s="9" t="str">
        <x:v>58985</x:v>
      </x:c>
      <x:c r="S33" s="9" t="str">
        <x:v>https://www.catalogoboticario.com/2026-catalogo-colombia/cat-col-t8-agosoto-2026/?page=1</x:v>
      </x:c>
      <x:c r="T33" s="12" t="n">
        <x:v>46242.208333333336</x:v>
      </x:c>
      <x:c r="U33" s="9" t="str">
        <x:v>Alternativa</x:v>
      </x:c>
    </x:row>
    <x:row r="34" ht="44" customHeight="1">
      <x:c r="A34" s="9" t="str">
        <x:v>OB032</x:v>
      </x:c>
      <x:c r="B34" s="9" t="str">
        <x:v>Cuidado corporal</x:v>
      </x:c>
      <x:c r="C34" s="9" t="str">
        <x:v>Jabón líquido corporal</x:v>
      </x:c>
      <x:c r="D34" s="9" t="str">
        <x:v>Frutal intenso</x:v>
      </x:c>
      <x:c r="E34" s="9" t="str">
        <x:v>Unisex</x:v>
      </x:c>
      <x:c r="F34" s="9" t="str">
        <x:v>Nativa SPA Jabón líquido corporal Ameixa</x:v>
      </x:c>
      <x:c r="G34" s="9" t="str">
        <x:v>200 ml</x:v>
      </x:c>
      <x:c r="H34" s="10" t="n">
        <x:v>67900</x:v>
      </x:c>
      <x:c r="I34" s="9" t="str">
        <x:v>Oriental frutal</x:v>
      </x:c>
      <x:c r="J34" s="9" t="n">
        <x:v>5</x:v>
      </x:c>
      <x:c r="K34" s="9" t="str">
        <x:v>Limpieza y fragancia de ciruela</x:v>
      </x:c>
      <x:c r="L34" s="9" t="str">
        <x:v>Rutina corporal intensa</x:v>
      </x:c>
      <x:c r="M34" s="9" t="str">
        <x:v>Baño diario</x:v>
      </x:c>
      <x:c r="N34" s="9" t="str">
        <x:f>IF(H34&lt;=70000,"Económico",IF(H34&lt;=120000,"Medio",IF(H34&lt;=170000,"Alto","Premium")))</x:f>
        <x:v>Económico</x:v>
      </x:c>
      <x:c r="O34" s="11" t="b">
        <x:v>1</x:v>
      </x:c>
      <x:c r="P34" s="11" t="b">
        <x:v>1</x:v>
      </x:c>
      <x:c r="Q34" s="9" t="n">
        <x:v>82</x:v>
      </x:c>
      <x:c r="R34" s="9" t="str">
        <x:v>48285</x:v>
      </x:c>
      <x:c r="S34" s="9" t="str">
        <x:v>https://www.catalogoboticario.com/2026-catalogo-colombia/cat-col-t8-agosoto-2026/?page=1</x:v>
      </x:c>
      <x:c r="T34" s="12" t="n">
        <x:v>46242.208333333336</x:v>
      </x:c>
      <x:c r="U34" s="9" t="str">
        <x:v>Alternativa</x:v>
      </x:c>
    </x:row>
    <x:row r="35" ht="44" customHeight="1">
      <x:c r="A35" s="9" t="str">
        <x:v>OB033</x:v>
      </x:c>
      <x:c r="B35" s="9" t="str">
        <x:v>Cuidado facial</x:v>
      </x:c>
      <x:c r="C35" s="9" t="str">
        <x:v>Limpieza facial</x:v>
      </x:c>
      <x:c r="D35" s="9" t="str">
        <x:v>Calmante</x:v>
      </x:c>
      <x:c r="E35" s="9" t="str">
        <x:v>Unisex</x:v>
      </x:c>
      <x:c r="F35" s="9" t="str">
        <x:v>Botik Gel de limpieza Cica Pantenol + Ceramidas</x:v>
      </x:c>
      <x:c r="G35" s="9" t="str">
        <x:v>200 g</x:v>
      </x:c>
      <x:c r="H35" s="10" t="n">
        <x:v>53465</x:v>
      </x:c>
      <x:c r="I35" s="9" t="str">
        <x:v>Cica, pantenol y ceramidas</x:v>
      </x:c>
      <x:c r="J35" s="9" t="n">
        <x:v>1</x:v>
      </x:c>
      <x:c r="K35" s="9" t="str">
        <x:v>Limpiar, calmar y apoyar la barrera</x:v>
      </x:c>
      <x:c r="L35" s="9" t="str">
        <x:v>Piel sensible o sensibilizada</x:v>
      </x:c>
      <x:c r="M35" s="9" t="str">
        <x:v>Día y noche</x:v>
      </x:c>
      <x:c r="N35" s="9" t="str">
        <x:f>IF(H35&lt;=70000,"Económico",IF(H35&lt;=120000,"Medio",IF(H35&lt;=170000,"Alto","Premium")))</x:f>
        <x:v>Económico</x:v>
      </x:c>
      <x:c r="O35" s="11" t="b">
        <x:v>1</x:v>
      </x:c>
      <x:c r="P35" s="11" t="b">
        <x:v>1</x:v>
      </x:c>
      <x:c r="Q35" s="9" t="n">
        <x:v>91</x:v>
      </x:c>
      <x:c r="R35" s="9" t="str">
        <x:v>63715</x:v>
      </x:c>
      <x:c r="S35" s="9" t="str">
        <x:v>https://www.catalogoboticario.com/2026-catalogo-colombia/cat-col-t8-agosoto-2026/?page=1</x:v>
      </x:c>
      <x:c r="T35" s="12" t="n">
        <x:v>46242.208333333336</x:v>
      </x:c>
      <x:c r="U35" s="9" t="str">
        <x:v>Principal</x:v>
      </x:c>
    </x:row>
    <x:row r="36" ht="44" customHeight="1">
      <x:c r="A36" s="9" t="str">
        <x:v>OB034</x:v>
      </x:c>
      <x:c r="B36" s="9" t="str">
        <x:v>Cuidado facial</x:v>
      </x:c>
      <x:c r="C36" s="9" t="str">
        <x:v>Limpieza facial</x:v>
      </x:c>
      <x:c r="D36" s="9" t="str">
        <x:v>Nutritiva</x:v>
      </x:c>
      <x:c r="E36" s="9" t="str">
        <x:v>Unisex</x:v>
      </x:c>
      <x:c r="F36" s="9" t="str">
        <x:v>Botik Crema de limpieza Resveratrol + Silicio</x:v>
      </x:c>
      <x:c r="G36" s="9" t="str">
        <x:v>150 ml</x:v>
      </x:c>
      <x:c r="H36" s="10" t="n">
        <x:v>57715</x:v>
      </x:c>
      <x:c r="I36" s="9" t="str">
        <x:v>Resveratrol y silicio</x:v>
      </x:c>
      <x:c r="J36" s="9" t="n">
        <x:v>1</x:v>
      </x:c>
      <x:c r="K36" s="9" t="str">
        <x:v>Limpieza suave y nutritiva</x:v>
      </x:c>
      <x:c r="L36" s="9" t="str">
        <x:v>Piel madura o en menopausia</x:v>
      </x:c>
      <x:c r="M36" s="9" t="str">
        <x:v>Día y noche</x:v>
      </x:c>
      <x:c r="N36" s="9" t="str">
        <x:f>IF(H36&lt;=70000,"Económico",IF(H36&lt;=120000,"Medio",IF(H36&lt;=170000,"Alto","Premium")))</x:f>
        <x:v>Económico</x:v>
      </x:c>
      <x:c r="O36" s="11" t="b">
        <x:v>1</x:v>
      </x:c>
      <x:c r="P36" s="11" t="b">
        <x:v>1</x:v>
      </x:c>
      <x:c r="Q36" s="9" t="n">
        <x:v>93</x:v>
      </x:c>
      <x:c r="R36" s="9" t="str">
        <x:v>58354</x:v>
      </x:c>
      <x:c r="S36" s="9" t="str">
        <x:v>https://www.catalogoboticario.com/2026-catalogo-colombia/cat-col-t8-agosoto-2026/?page=1</x:v>
      </x:c>
      <x:c r="T36" s="12" t="n">
        <x:v>46242.208333333336</x:v>
      </x:c>
      <x:c r="U36" s="9" t="str">
        <x:v>Alternativa</x:v>
      </x:c>
    </x:row>
    <x:row r="37" ht="44" customHeight="1">
      <x:c r="A37" s="9" t="str">
        <x:v>OB035</x:v>
      </x:c>
      <x:c r="B37" s="9" t="str">
        <x:v>Cuidado facial</x:v>
      </x:c>
      <x:c r="C37" s="9" t="str">
        <x:v>Limpieza facial</x:v>
      </x:c>
      <x:c r="D37" s="9" t="str">
        <x:v>Antioxidante</x:v>
      </x:c>
      <x:c r="E37" s="9" t="str">
        <x:v>Unisex</x:v>
      </x:c>
      <x:c r="F37" s="9" t="str">
        <x:v>Botik Gel de limpieza antioxidante Vitamina C</x:v>
      </x:c>
      <x:c r="G37" s="9" t="str">
        <x:v>200 g</x:v>
      </x:c>
      <x:c r="H37" s="10" t="n">
        <x:v>82365</x:v>
      </x:c>
      <x:c r="I37" s="9" t="str">
        <x:v>Vitamina C</x:v>
      </x:c>
      <x:c r="J37" s="9" t="n">
        <x:v>1</x:v>
      </x:c>
      <x:c r="K37" s="9" t="str">
        <x:v>Limpiar y controlar brillo sin resecar</x:v>
      </x:c>
      <x:c r="L37" s="9" t="str">
        <x:v>Piel mixta o grasa con opacidad</x:v>
      </x:c>
      <x:c r="M37" s="9" t="str">
        <x:v>Día o noche</x:v>
      </x:c>
      <x:c r="N37" s="9" t="str">
        <x:f>IF(H37&lt;=70000,"Económico",IF(H37&lt;=120000,"Medio",IF(H37&lt;=170000,"Alto","Premium")))</x:f>
        <x:v>Medio</x:v>
      </x:c>
      <x:c r="O37" s="11" t="b">
        <x:v>1</x:v>
      </x:c>
      <x:c r="P37" s="11" t="b">
        <x:v>1</x:v>
      </x:c>
      <x:c r="Q37" s="9" t="n">
        <x:v>97</x:v>
      </x:c>
      <x:c r="R37" s="9" t="str">
        <x:v>51470</x:v>
      </x:c>
      <x:c r="S37" s="9" t="str">
        <x:v>https://www.catalogoboticario.com/2026-catalogo-colombia/cat-col-t8-agosoto-2026/?page=1</x:v>
      </x:c>
      <x:c r="T37" s="12" t="n">
        <x:v>46242.208333333336</x:v>
      </x:c>
      <x:c r="U37" s="9" t="str">
        <x:v>Alternativa</x:v>
      </x:c>
    </x:row>
    <x:row r="38" ht="44" customHeight="1">
      <x:c r="A38" s="9" t="str">
        <x:v>OB036</x:v>
      </x:c>
      <x:c r="B38" s="9" t="str">
        <x:v>Cuidado facial</x:v>
      </x:c>
      <x:c r="C38" s="9" t="str">
        <x:v>Limpieza facial</x:v>
      </x:c>
      <x:c r="D38" s="9" t="str">
        <x:v>Oleosidad y poros</x:v>
      </x:c>
      <x:c r="E38" s="9" t="str">
        <x:v>Unisex</x:v>
      </x:c>
      <x:c r="F38" s="9" t="str">
        <x:v>Botik Gel de limpieza micelar Ácido Mandélico + Salicílico</x:v>
      </x:c>
      <x:c r="G38" s="9" t="str">
        <x:v>150 g</x:v>
      </x:c>
      <x:c r="H38" s="10" t="n">
        <x:v>47515</x:v>
      </x:c>
      <x:c r="I38" s="9" t="str">
        <x:v>Ácido mandélico y salicílico</x:v>
      </x:c>
      <x:c r="J38" s="9" t="n">
        <x:v>1</x:v>
      </x:c>
      <x:c r="K38" s="9" t="str">
        <x:v>Limpieza profunda y control de oleosidad</x:v>
      </x:c>
      <x:c r="L38" s="9" t="str">
        <x:v>Piel mixta o grasa</x:v>
      </x:c>
      <x:c r="M38" s="9" t="str">
        <x:v>Día y noche</x:v>
      </x:c>
      <x:c r="N38" s="9" t="str">
        <x:f>IF(H38&lt;=70000,"Económico",IF(H38&lt;=120000,"Medio",IF(H38&lt;=170000,"Alto","Premium")))</x:f>
        <x:v>Económico</x:v>
      </x:c>
      <x:c r="O38" s="11" t="b">
        <x:v>1</x:v>
      </x:c>
      <x:c r="P38" s="11" t="b">
        <x:v>1</x:v>
      </x:c>
      <x:c r="Q38" s="9" t="n">
        <x:v>98</x:v>
      </x:c>
      <x:c r="R38" s="9" t="str">
        <x:v>67491</x:v>
      </x:c>
      <x:c r="S38" s="9" t="str">
        <x:v>https://www.catalogoboticario.com/2026-catalogo-colombia/cat-col-t8-agosoto-2026/?page=1</x:v>
      </x:c>
      <x:c r="T38" s="12" t="n">
        <x:v>46242.208333333336</x:v>
      </x:c>
      <x:c r="U38" s="9" t="str">
        <x:v>Alternativa</x:v>
      </x:c>
    </x:row>
    <x:row r="39" ht="44" customHeight="1">
      <x:c r="A39" s="9" t="str">
        <x:v>OB037</x:v>
      </x:c>
      <x:c r="B39" s="9" t="str">
        <x:v>Cuidado facial</x:v>
      </x:c>
      <x:c r="C39" s="9" t="str">
        <x:v>Sérum facial</x:v>
      </x:c>
      <x:c r="D39" s="9" t="str">
        <x:v>Firmeza</x:v>
      </x:c>
      <x:c r="E39" s="9" t="str">
        <x:v>Unisex</x:v>
      </x:c>
      <x:c r="F39" s="9" t="str">
        <x:v>Botik Sérum alta potencia Resveratrol + Silicio</x:v>
      </x:c>
      <x:c r="G39" s="9" t="str">
        <x:v>30 ml</x:v>
      </x:c>
      <x:c r="H39" s="10" t="n">
        <x:v>142715</x:v>
      </x:c>
      <x:c r="I39" s="9" t="str">
        <x:v>Resveratrol y silicio</x:v>
      </x:c>
      <x:c r="J39" s="9" t="n">
        <x:v>1</x:v>
      </x:c>
      <x:c r="K39" s="9" t="str">
        <x:v>Firmeza y soporte de colágeno</x:v>
      </x:c>
      <x:c r="L39" s="9" t="str">
        <x:v>Piel madura o en menopausia</x:v>
      </x:c>
      <x:c r="M39" s="9" t="str">
        <x:v>Día o noche</x:v>
      </x:c>
      <x:c r="N39" s="9" t="str">
        <x:f>IF(H39&lt;=70000,"Económico",IF(H39&lt;=120000,"Medio",IF(H39&lt;=170000,"Alto","Premium")))</x:f>
        <x:v>Alto</x:v>
      </x:c>
      <x:c r="O39" s="11" t="b">
        <x:v>1</x:v>
      </x:c>
      <x:c r="P39" s="11" t="b">
        <x:v>1</x:v>
      </x:c>
      <x:c r="Q39" s="9" t="n">
        <x:v>93</x:v>
      </x:c>
      <x:c r="R39" s="9" t="str">
        <x:v>55403</x:v>
      </x:c>
      <x:c r="S39" s="9" t="str">
        <x:v>https://www.catalogoboticario.com/2026-catalogo-colombia/cat-col-t8-agosoto-2026/?page=1</x:v>
      </x:c>
      <x:c r="T39" s="12" t="n">
        <x:v>46242.208333333336</x:v>
      </x:c>
      <x:c r="U39" s="9" t="str">
        <x:v>Principal</x:v>
      </x:c>
    </x:row>
    <x:row r="40" ht="44" customHeight="1">
      <x:c r="A40" s="9" t="str">
        <x:v>OB038</x:v>
      </x:c>
      <x:c r="B40" s="9" t="str">
        <x:v>Cuidado facial</x:v>
      </x:c>
      <x:c r="C40" s="9" t="str">
        <x:v>Sérum facial</x:v>
      </x:c>
      <x:c r="D40" s="9" t="str">
        <x:v>Luminosidad</x:v>
      </x:c>
      <x:c r="E40" s="9" t="str">
        <x:v>Unisex</x:v>
      </x:c>
      <x:c r="F40" s="9" t="str">
        <x:v>Botik Sérum alta potencia Vitamina C 10%</x:v>
      </x:c>
      <x:c r="G40" s="9" t="str">
        <x:v>30 ml</x:v>
      </x:c>
      <x:c r="H40" s="10" t="n">
        <x:v>142715</x:v>
      </x:c>
      <x:c r="I40" s="9" t="str">
        <x:v>Vitamina C 10% y vitamina E</x:v>
      </x:c>
      <x:c r="J40" s="9" t="n">
        <x:v>1</x:v>
      </x:c>
      <x:c r="K40" s="9" t="str">
        <x:v>Luminosidad y acción antioxidante</x:v>
      </x:c>
      <x:c r="L40" s="9" t="str">
        <x:v>Todo tipo de piel con tono apagado</x:v>
      </x:c>
      <x:c r="M40" s="9" t="str">
        <x:v>Día; usar protector solar</x:v>
      </x:c>
      <x:c r="N40" s="9" t="str">
        <x:f>IF(H40&lt;=70000,"Económico",IF(H40&lt;=120000,"Medio",IF(H40&lt;=170000,"Alto","Premium")))</x:f>
        <x:v>Alto</x:v>
      </x:c>
      <x:c r="O40" s="11" t="b">
        <x:v>1</x:v>
      </x:c>
      <x:c r="P40" s="11" t="b">
        <x:v>1</x:v>
      </x:c>
      <x:c r="Q40" s="9" t="n">
        <x:v>96</x:v>
      </x:c>
      <x:c r="R40" s="9" t="str">
        <x:v>51467</x:v>
      </x:c>
      <x:c r="S40" s="9" t="str">
        <x:v>https://www.catalogoboticario.com/2026-catalogo-colombia/cat-col-t8-agosoto-2026/?page=1</x:v>
      </x:c>
      <x:c r="T40" s="12" t="n">
        <x:v>46242.208333333336</x:v>
      </x:c>
      <x:c r="U40" s="9" t="str">
        <x:v>Alternativa</x:v>
      </x:c>
    </x:row>
    <x:row r="41" ht="44" customHeight="1">
      <x:c r="A41" s="9" t="str">
        <x:v>OB039</x:v>
      </x:c>
      <x:c r="B41" s="9" t="str">
        <x:v>Cuidado facial</x:v>
      </x:c>
      <x:c r="C41" s="9" t="str">
        <x:v>Sérum facial</x:v>
      </x:c>
      <x:c r="D41" s="9" t="str">
        <x:v>Oleosidad y poros</x:v>
      </x:c>
      <x:c r="E41" s="9" t="str">
        <x:v>Unisex</x:v>
      </x:c>
      <x:c r="F41" s="9" t="str">
        <x:v>Botik Sérum alta potencia Ácido Mandélico + Salicílico</x:v>
      </x:c>
      <x:c r="G41" s="9" t="str">
        <x:v>30 ml</x:v>
      </x:c>
      <x:c r="H41" s="10" t="n">
        <x:v>142715</x:v>
      </x:c>
      <x:c r="I41" s="9" t="str">
        <x:v>Ácido mandélico y salicílico</x:v>
      </x:c>
      <x:c r="J41" s="9" t="n">
        <x:v>1</x:v>
      </x:c>
      <x:c r="K41" s="9" t="str">
        <x:v>Poros, imperfecciones y grasa</x:v>
      </x:c>
      <x:c r="L41" s="9" t="str">
        <x:v>Piel mixta o grasa</x:v>
      </x:c>
      <x:c r="M41" s="9" t="str">
        <x:v>Noche; usar protector solar</x:v>
      </x:c>
      <x:c r="N41" s="9" t="str">
        <x:f>IF(H41&lt;=70000,"Económico",IF(H41&lt;=120000,"Medio",IF(H41&lt;=170000,"Alto","Premium")))</x:f>
        <x:v>Alto</x:v>
      </x:c>
      <x:c r="O41" s="11" t="b">
        <x:v>1</x:v>
      </x:c>
      <x:c r="P41" s="11" t="b">
        <x:v>1</x:v>
      </x:c>
      <x:c r="Q41" s="9" t="n">
        <x:v>99</x:v>
      </x:c>
      <x:c r="R41" s="9" t="str">
        <x:v>63320</x:v>
      </x:c>
      <x:c r="S41" s="9" t="str">
        <x:v>https://www.catalogoboticario.com/2026-catalogo-colombia/cat-col-t8-agosoto-2026/?page=1</x:v>
      </x:c>
      <x:c r="T41" s="12" t="n">
        <x:v>46242.208333333336</x:v>
      </x:c>
      <x:c r="U41" s="9" t="str">
        <x:v>Alternativa</x:v>
      </x:c>
    </x:row>
    <x:row r="42" ht="44" customHeight="1">
      <x:c r="A42" s="9" t="str">
        <x:v>OB040</x:v>
      </x:c>
      <x:c r="B42" s="9" t="str">
        <x:v>Cuidado facial</x:v>
      </x:c>
      <x:c r="C42" s="9" t="str">
        <x:v>Sérum facial</x:v>
      </x:c>
      <x:c r="D42" s="9" t="str">
        <x:v>Arrugas intensivo</x:v>
      </x:c>
      <x:c r="E42" s="9" t="str">
        <x:v>Unisex</x:v>
      </x:c>
      <x:c r="F42" s="9" t="str">
        <x:v>Botik Sérum facial alta potencia Retinol Puro 0,3%</x:v>
      </x:c>
      <x:c r="G42" s="9" t="str">
        <x:v>30 ml</x:v>
      </x:c>
      <x:c r="H42" s="10" t="n">
        <x:v>142715</x:v>
      </x:c>
      <x:c r="I42" s="9" t="str">
        <x:v>Retinol puro 0,3%</x:v>
      </x:c>
      <x:c r="J42" s="9" t="n">
        <x:v>1</x:v>
      </x:c>
      <x:c r="K42" s="9" t="str">
        <x:v>Arrugas y tono irregular</x:v>
      </x:c>
      <x:c r="L42" s="9" t="str">
        <x:v>Piel acostumbrada al retinol</x:v>
      </x:c>
      <x:c r="M42" s="9" t="str">
        <x:v>Noche; adaptación gradual</x:v>
      </x:c>
      <x:c r="N42" s="9" t="str">
        <x:f>IF(H42&lt;=70000,"Económico",IF(H42&lt;=120000,"Medio",IF(H42&lt;=170000,"Alto","Premium")))</x:f>
        <x:v>Alto</x:v>
      </x:c>
      <x:c r="O42" s="11" t="b">
        <x:v>1</x:v>
      </x:c>
      <x:c r="P42" s="11" t="b">
        <x:v>1</x:v>
      </x:c>
      <x:c r="Q42" s="9" t="n">
        <x:v>100</x:v>
      </x:c>
      <x:c r="R42" s="9" t="str">
        <x:v>83550</x:v>
      </x:c>
      <x:c r="S42" s="9" t="str">
        <x:v>https://www.catalogoboticario.com/2026-catalogo-colombia/cat-col-t8-agosoto-2026/?page=1</x:v>
      </x:c>
      <x:c r="T42" s="12" t="n">
        <x:v>46242.208333333336</x:v>
      </x:c>
      <x:c r="U42" s="9" t="str">
        <x:v>Alternativa</x:v>
      </x:c>
    </x:row>
    <x:row r="43" ht="44" customHeight="1">
      <x:c r="A43" s="9" t="str">
        <x:v>OB041</x:v>
      </x:c>
      <x:c r="B43" s="9" t="str">
        <x:v>Cuidado facial</x:v>
      </x:c>
      <x:c r="C43" s="9" t="str">
        <x:v>Hidratante o tratamiento</x:v>
      </x:c>
      <x:c r="D43" s="9" t="str">
        <x:v>Calmante</x:v>
      </x:c>
      <x:c r="E43" s="9" t="str">
        <x:v>Unisex</x:v>
      </x:c>
      <x:c r="F43" s="9" t="str">
        <x:v>Botik Crema multirreparadora calmante Cica Pantenol + Ceramidas</x:v>
      </x:c>
      <x:c r="G43" s="9" t="str">
        <x:v>30 g</x:v>
      </x:c>
      <x:c r="H43" s="10" t="n">
        <x:v>59415</x:v>
      </x:c>
      <x:c r="I43" s="9" t="str">
        <x:v>Cica, pantenol y ceramidas</x:v>
      </x:c>
      <x:c r="J43" s="9" t="n">
        <x:v>1</x:v>
      </x:c>
      <x:c r="K43" s="9" t="str">
        <x:v>Calmar e hidratar la barrera</x:v>
      </x:c>
      <x:c r="L43" s="9" t="str">
        <x:v>Piel sensible o sensibilizada</x:v>
      </x:c>
      <x:c r="M43" s="9" t="str">
        <x:v>Día y noche</x:v>
      </x:c>
      <x:c r="N43" s="9" t="str">
        <x:f>IF(H43&lt;=70000,"Económico",IF(H43&lt;=120000,"Medio",IF(H43&lt;=170000,"Alto","Premium")))</x:f>
        <x:v>Económico</x:v>
      </x:c>
      <x:c r="O43" s="11" t="b">
        <x:v>1</x:v>
      </x:c>
      <x:c r="P43" s="11" t="b">
        <x:v>1</x:v>
      </x:c>
      <x:c r="Q43" s="9" t="n">
        <x:v>91</x:v>
      </x:c>
      <x:c r="R43" s="9" t="str">
        <x:v>63717</x:v>
      </x:c>
      <x:c r="S43" s="9" t="str">
        <x:v>https://www.catalogoboticario.com/2026-catalogo-colombia/cat-col-t8-agosoto-2026/?page=1</x:v>
      </x:c>
      <x:c r="T43" s="12" t="n">
        <x:v>46242.208333333336</x:v>
      </x:c>
      <x:c r="U43" s="9" t="str">
        <x:v>Principal</x:v>
      </x:c>
    </x:row>
    <x:row r="44" ht="44" customHeight="1">
      <x:c r="A44" s="9" t="str">
        <x:v>OB042</x:v>
      </x:c>
      <x:c r="B44" s="9" t="str">
        <x:v>Cuidado facial</x:v>
      </x:c>
      <x:c r="C44" s="9" t="str">
        <x:v>Hidratante o tratamiento</x:v>
      </x:c>
      <x:c r="D44" s="9" t="str">
        <x:v>Arrugas</x:v>
      </x:c>
      <x:c r="E44" s="9" t="str">
        <x:v>Unisex</x:v>
      </x:c>
      <x:c r="F44" s="9" t="str">
        <x:v>Botik Crema Ácido Hialurónico</x:v>
      </x:c>
      <x:c r="G44" s="9" t="str">
        <x:v>40 g</x:v>
      </x:c>
      <x:c r="H44" s="10" t="n">
        <x:v>127415</x:v>
      </x:c>
      <x:c r="I44" s="9" t="str">
        <x:v>Ácido hialurónico</x:v>
      </x:c>
      <x:c r="J44" s="9" t="n">
        <x:v>1</x:v>
      </x:c>
      <x:c r="K44" s="9" t="str">
        <x:v>Hidratación y reducción de arrugas</x:v>
      </x:c>
      <x:c r="L44" s="9" t="str">
        <x:v>Piel con deshidratación o líneas</x:v>
      </x:c>
      <x:c r="M44" s="9" t="str">
        <x:v>Día y noche</x:v>
      </x:c>
      <x:c r="N44" s="9" t="str">
        <x:f>IF(H44&lt;=70000,"Económico",IF(H44&lt;=120000,"Medio",IF(H44&lt;=170000,"Alto","Premium")))</x:f>
        <x:v>Alto</x:v>
      </x:c>
      <x:c r="O44" s="11" t="b">
        <x:v>1</x:v>
      </x:c>
      <x:c r="P44" s="11" t="b">
        <x:v>1</x:v>
      </x:c>
      <x:c r="Q44" s="9" t="n">
        <x:v>95</x:v>
      </x:c>
      <x:c r="R44" s="9" t="str">
        <x:v>4539</x:v>
      </x:c>
      <x:c r="S44" s="9" t="str">
        <x:v>https://www.catalogoboticario.com/2026-catalogo-colombia/cat-col-t8-agosoto-2026/?page=1</x:v>
      </x:c>
      <x:c r="T44" s="12" t="n">
        <x:v>46242.208333333336</x:v>
      </x:c>
      <x:c r="U44" s="9" t="str">
        <x:v>Alternativa</x:v>
      </x:c>
    </x:row>
    <x:row r="45" ht="44" customHeight="1">
      <x:c r="A45" s="9" t="str">
        <x:v>OB043</x:v>
      </x:c>
      <x:c r="B45" s="9" t="str">
        <x:v>Cuidado facial</x:v>
      </x:c>
      <x:c r="C45" s="9" t="str">
        <x:v>Hidratante o tratamiento</x:v>
      </x:c>
      <x:c r="D45" s="9" t="str">
        <x:v>Oleosidad y poros</x:v>
      </x:c>
      <x:c r="E45" s="9" t="str">
        <x:v>Unisex</x:v>
      </x:c>
      <x:c r="F45" s="9" t="str">
        <x:v>Botik Acqua Gel hidratante Ácido Mandélico + Salicílico</x:v>
      </x:c>
      <x:c r="G45" s="9" t="str">
        <x:v>50 g</x:v>
      </x:c>
      <x:c r="H45" s="10" t="n">
        <x:v>95965</x:v>
      </x:c>
      <x:c r="I45" s="9" t="str">
        <x:v>Ácido mandélico y salicílico</x:v>
      </x:c>
      <x:c r="J45" s="9" t="n">
        <x:v>1</x:v>
      </x:c>
      <x:c r="K45" s="9" t="str">
        <x:v>Hidratar sin grasa y reducir oleosidad</x:v>
      </x:c>
      <x:c r="L45" s="9" t="str">
        <x:v>Piel mixta o grasa</x:v>
      </x:c>
      <x:c r="M45" s="9" t="str">
        <x:v>Día y noche</x:v>
      </x:c>
      <x:c r="N45" s="9" t="str">
        <x:f>IF(H45&lt;=70000,"Económico",IF(H45&lt;=120000,"Medio",IF(H45&lt;=170000,"Alto","Premium")))</x:f>
        <x:v>Medio</x:v>
      </x:c>
      <x:c r="O45" s="11" t="b">
        <x:v>1</x:v>
      </x:c>
      <x:c r="P45" s="11" t="b">
        <x:v>1</x:v>
      </x:c>
      <x:c r="Q45" s="9" t="n">
        <x:v>98</x:v>
      </x:c>
      <x:c r="R45" s="9" t="str">
        <x:v>62942</x:v>
      </x:c>
      <x:c r="S45" s="9" t="str">
        <x:v>https://www.catalogoboticario.com/2026-catalogo-colombia/cat-col-t8-agosoto-2026/?page=1</x:v>
      </x:c>
      <x:c r="T45" s="12" t="n">
        <x:v>46242.208333333336</x:v>
      </x:c>
      <x:c r="U45" s="9" t="str">
        <x:v>Alternativa</x:v>
      </x:c>
    </x:row>
    <x:row r="46" ht="44" customHeight="1">
      <x:c r="A46" s="9" t="str">
        <x:v>OB044</x:v>
      </x:c>
      <x:c r="B46" s="9" t="str">
        <x:v>Cuidado facial</x:v>
      </x:c>
      <x:c r="C46" s="9" t="str">
        <x:v>Hidratante o tratamiento</x:v>
      </x:c>
      <x:c r="D46" s="9" t="str">
        <x:v>Retinol inicial</x:v>
      </x:c>
      <x:c r="E46" s="9" t="str">
        <x:v>Unisex</x:v>
      </x:c>
      <x:c r="F46" s="9" t="str">
        <x:v>Botik Crema gel reductora de arrugas Retinol Puro 0,1%</x:v>
      </x:c>
      <x:c r="G46" s="9" t="str">
        <x:v>30 g</x:v>
      </x:c>
      <x:c r="H46" s="10" t="n">
        <x:v>127415</x:v>
      </x:c>
      <x:c r="I46" s="9" t="str">
        <x:v>Retinol puro 0,1%</x:v>
      </x:c>
      <x:c r="J46" s="9" t="n">
        <x:v>1</x:v>
      </x:c>
      <x:c r="K46" s="9" t="str">
        <x:v>Reducción progresiva de líneas</x:v>
      </x:c>
      <x:c r="L46" s="9" t="str">
        <x:v>Piel que inicia con retinol</x:v>
      </x:c>
      <x:c r="M46" s="9" t="str">
        <x:v>Noche; adaptación gradual</x:v>
      </x:c>
      <x:c r="N46" s="9" t="str">
        <x:f>IF(H46&lt;=70000,"Económico",IF(H46&lt;=120000,"Medio",IF(H46&lt;=170000,"Alto","Premium")))</x:f>
        <x:v>Alto</x:v>
      </x:c>
      <x:c r="O46" s="11" t="b">
        <x:v>1</x:v>
      </x:c>
      <x:c r="P46" s="11" t="b">
        <x:v>1</x:v>
      </x:c>
      <x:c r="Q46" s="9" t="n">
        <x:v>100</x:v>
      </x:c>
      <x:c r="R46" s="9" t="str">
        <x:v>83551</x:v>
      </x:c>
      <x:c r="S46" s="9" t="str">
        <x:v>https://www.catalogoboticario.com/2026-catalogo-colombia/cat-col-t8-agosoto-2026/?page=1</x:v>
      </x:c>
      <x:c r="T46" s="12" t="n">
        <x:v>46242.208333333336</x:v>
      </x:c>
      <x:c r="U46" s="9" t="str">
        <x:v>Alternativa</x:v>
      </x:c>
    </x:row>
    <x:row r="47" ht="44" customHeight="1">
      <x:c r="A47" s="9" t="str">
        <x:v>OB045</x:v>
      </x:c>
      <x:c r="B47" s="9" t="str">
        <x:v>Cuidado facial</x:v>
      </x:c>
      <x:c r="C47" s="9" t="str">
        <x:v>Protector solar facial</x:v>
      </x:c>
      <x:c r="D47" s="9" t="str">
        <x:v>Hidratante FPS 50</x:v>
      </x:c>
      <x:c r="E47" s="9" t="str">
        <x:v>Unisex</x:v>
      </x:c>
      <x:c r="F47" s="9" t="str">
        <x:v>Botik Protector solar facial Ácido Hialurónico FPS 50</x:v>
      </x:c>
      <x:c r="G47" s="9" t="str">
        <x:v>40 ml</x:v>
      </x:c>
      <x:c r="H47" s="10" t="n">
        <x:v>99900</x:v>
      </x:c>
      <x:c r="I47" s="9" t="str">
        <x:v>Ácido hialurónico; FPS 50</x:v>
      </x:c>
      <x:c r="J47" s="9" t="n">
        <x:v>1</x:v>
      </x:c>
      <x:c r="K47" s="9" t="str">
        <x:v>Protección solar e hidratación</x:v>
      </x:c>
      <x:c r="L47" s="9" t="str">
        <x:v>Todo tipo de piel</x:v>
      </x:c>
      <x:c r="M47" s="9" t="str">
        <x:v>Día; reaplicar</x:v>
      </x:c>
      <x:c r="N47" s="9" t="str">
        <x:f>IF(H47&lt;=70000,"Económico",IF(H47&lt;=120000,"Medio",IF(H47&lt;=170000,"Alto","Premium")))</x:f>
        <x:v>Medio</x:v>
      </x:c>
      <x:c r="O47" s="11" t="b">
        <x:v>1</x:v>
      </x:c>
      <x:c r="P47" s="11" t="b">
        <x:v>1</x:v>
      </x:c>
      <x:c r="Q47" s="9" t="n">
        <x:v>94</x:v>
      </x:c>
      <x:c r="R47" s="9" t="str">
        <x:v>3838</x:v>
      </x:c>
      <x:c r="S47" s="9" t="str">
        <x:v>https://www.catalogoboticario.com/2026-catalogo-colombia/cat-col-t8-agosoto-2026/?page=1</x:v>
      </x:c>
      <x:c r="T47" s="12" t="n">
        <x:v>46242.208333333336</x:v>
      </x:c>
      <x:c r="U47" s="9" t="str">
        <x:v>Principal</x:v>
      </x:c>
    </x:row>
    <x:row r="48" ht="44" customHeight="1">
      <x:c r="A48" s="9" t="str">
        <x:v>OB046</x:v>
      </x:c>
      <x:c r="B48" s="9" t="str">
        <x:v>Cuidado facial</x:v>
      </x:c>
      <x:c r="C48" s="9" t="str">
        <x:v>Protector solar facial</x:v>
      </x:c>
      <x:c r="D48" s="9" t="str">
        <x:v>Con color FPS 70</x:v>
      </x:c>
      <x:c r="E48" s="9" t="str">
        <x:v>Unisex</x:v>
      </x:c>
      <x:c r="F48" s="9" t="str">
        <x:v>Boti.Sun Protector solar con color FPS 70</x:v>
      </x:c>
      <x:c r="G48" s="9" t="str">
        <x:v>40 ml</x:v>
      </x:c>
      <x:c r="H48" s="10" t="n">
        <x:v>99900</x:v>
      </x:c>
      <x:c r="I48" s="9" t="str">
        <x:v>FPS 70 con color</x:v>
      </x:c>
      <x:c r="J48" s="9" t="n">
        <x:v>1</x:v>
      </x:c>
      <x:c r="K48" s="9" t="str">
        <x:v>Protección y cobertura ligera</x:v>
      </x:c>
      <x:c r="L48" s="9" t="str">
        <x:v>Quien desea unificar el tono</x:v>
      </x:c>
      <x:c r="M48" s="9" t="str">
        <x:v>Día; reaplicar</x:v>
      </x:c>
      <x:c r="N48" s="9" t="str">
        <x:f>IF(H48&lt;=70000,"Económico",IF(H48&lt;=120000,"Medio",IF(H48&lt;=170000,"Alto","Premium")))</x:f>
        <x:v>Medio</x:v>
      </x:c>
      <x:c r="O48" s="11" t="b">
        <x:v>1</x:v>
      </x:c>
      <x:c r="P48" s="11" t="b">
        <x:v>0</x:v>
      </x:c>
      <x:c r="Q48" s="9" t="n">
        <x:v>108</x:v>
      </x:c>
      <x:c r="R48" s="9" t="str">
        <x:v>Ver página</x:v>
      </x:c>
      <x:c r="S48" s="9" t="str">
        <x:v>https://www.catalogoboticario.com/2026-catalogo-colombia/cat-col-t8-agosoto-2026/?page=1</x:v>
      </x:c>
      <x:c r="T48" s="12" t="n">
        <x:v>46242.208333333336</x:v>
      </x:c>
      <x:c r="U48" s="9" t="str">
        <x:v>Pendiente</x:v>
      </x:c>
    </x:row>
    <x:row r="49" ht="44" customHeight="1">
      <x:c r="A49" s="9" t="str">
        <x:v>OB047</x:v>
      </x:c>
      <x:c r="B49" s="9" t="str">
        <x:v>Cuidado facial</x:v>
      </x:c>
      <x:c r="C49" s="9" t="str">
        <x:v>Protector solar facial</x:v>
      </x:c>
      <x:c r="D49" s="9" t="str">
        <x:v>Antiseñales FPS 70</x:v>
      </x:c>
      <x:c r="E49" s="9" t="str">
        <x:v>Unisex</x:v>
      </x:c>
      <x:c r="F49" s="9" t="str">
        <x:v>Boti.Sun Acqua Fluido diario antiseñales FPS 70</x:v>
      </x:c>
      <x:c r="G49" s="9" t="str">
        <x:v>40 ml</x:v>
      </x:c>
      <x:c r="H49" s="10" t="n">
        <x:v>99900</x:v>
      </x:c>
      <x:c r="I49" s="9" t="str">
        <x:v>FPS 70</x:v>
      </x:c>
      <x:c r="J49" s="9" t="n">
        <x:v>1</x:v>
      </x:c>
      <x:c r="K49" s="9" t="str">
        <x:v>Alta protección y prevención de señales</x:v>
      </x:c>
      <x:c r="L49" s="9" t="str">
        <x:v>Todo tipo de piel</x:v>
      </x:c>
      <x:c r="M49" s="9" t="str">
        <x:v>Día; reaplicar</x:v>
      </x:c>
      <x:c r="N49" s="9" t="str">
        <x:f>IF(H49&lt;=70000,"Económico",IF(H49&lt;=120000,"Medio",IF(H49&lt;=170000,"Alto","Premium")))</x:f>
        <x:v>Medio</x:v>
      </x:c>
      <x:c r="O49" s="11" t="b">
        <x:v>1</x:v>
      </x:c>
      <x:c r="P49" s="11" t="b">
        <x:v>1</x:v>
      </x:c>
      <x:c r="Q49" s="9" t="n">
        <x:v>109</x:v>
      </x:c>
      <x:c r="R49" s="9" t="str">
        <x:v>47602</x:v>
      </x:c>
      <x:c r="S49" s="9" t="str">
        <x:v>https://www.catalogoboticario.com/2026-catalogo-colombia/cat-col-t8-agosoto-2026/?page=1</x:v>
      </x:c>
      <x:c r="T49" s="12" t="n">
        <x:v>46242.208333333336</x:v>
      </x:c>
      <x:c r="U49" s="9" t="str">
        <x:v>Alternativa</x:v>
      </x:c>
    </x:row>
    <x:row r="50" ht="44" customHeight="1">
      <x:c r="A50" s="9" t="str">
        <x:v>OB048</x:v>
      </x:c>
      <x:c r="B50" s="9" t="str">
        <x:v>Cuidado facial</x:v>
      </x:c>
      <x:c r="C50" s="9" t="str">
        <x:v>Protector solar facial</x:v>
      </x:c>
      <x:c r="D50" s="9" t="str">
        <x:v>Antioxidante FPS 30</x:v>
      </x:c>
      <x:c r="E50" s="9" t="str">
        <x:v>Unisex</x:v>
      </x:c>
      <x:c r="F50" s="9" t="str">
        <x:v>Boti.Sun Protector solar facial doble acción antioxidante FPS 30</x:v>
      </x:c>
      <x:c r="G50" s="9" t="str">
        <x:v>40 ml</x:v>
      </x:c>
      <x:c r="H50" s="10" t="n">
        <x:v>55900</x:v>
      </x:c>
      <x:c r="I50" s="9" t="str">
        <x:v>FPS 30 antioxidante</x:v>
      </x:c>
      <x:c r="J50" s="9" t="n">
        <x:v>1</x:v>
      </x:c>
      <x:c r="K50" s="9" t="str">
        <x:v>Protección diaria antioxidante</x:v>
      </x:c>
      <x:c r="L50" s="9" t="str">
        <x:v>Uso urbano cotidiano</x:v>
      </x:c>
      <x:c r="M50" s="9" t="str">
        <x:v>Día; reaplicar</x:v>
      </x:c>
      <x:c r="N50" s="9" t="str">
        <x:f>IF(H50&lt;=70000,"Económico",IF(H50&lt;=120000,"Medio",IF(H50&lt;=170000,"Alto","Premium")))</x:f>
        <x:v>Económico</x:v>
      </x:c>
      <x:c r="O50" s="11" t="b">
        <x:v>1</x:v>
      </x:c>
      <x:c r="P50" s="11" t="b">
        <x:v>1</x:v>
      </x:c>
      <x:c r="Q50" s="9" t="n">
        <x:v>109</x:v>
      </x:c>
      <x:c r="R50" s="9" t="str">
        <x:v>60396</x:v>
      </x:c>
      <x:c r="S50" s="9" t="str">
        <x:v>https://www.catalogoboticario.com/2026-catalogo-colombia/cat-col-t8-agosoto-2026/?page=1</x:v>
      </x:c>
      <x:c r="T50" s="12" t="n">
        <x:v>46242.208333333336</x:v>
      </x:c>
      <x:c r="U50" s="9" t="str">
        <x:v>Alternativa</x:v>
      </x:c>
    </x:row>
    <x:row r="51" ht="44" customHeight="1">
      <x:c r="A51" s="9" t="str">
        <x:v>OB049</x:v>
      </x:c>
      <x:c r="B51" s="9" t="str">
        <x:v>Cabello</x:v>
      </x:c>
      <x:c r="C51" s="9" t="str">
        <x:v>Shampoo</x:v>
      </x:c>
      <x:c r="D51" s="9" t="str">
        <x:v>Daño químico</x:v>
      </x:c>
      <x:c r="E51" s="9" t="str">
        <x:v>Unisex</x:v>
      </x:c>
      <x:c r="F51" s="9" t="str">
        <x:v>Match Shampoo Pre y Pos Química</x:v>
      </x:c>
      <x:c r="G51" s="9" t="str">
        <x:v>300 ml</x:v>
      </x:c>
      <x:c r="H51" s="10" t="n">
        <x:v>49900</x:v>
      </x:c>
      <x:c r="I51" s="9" t="str">
        <x:v>Reconstrucción</x:v>
      </x:c>
      <x:c r="J51" s="9" t="n">
        <x:v>1</x:v>
      </x:c>
      <x:c r="K51" s="9" t="str">
        <x:v>Limpieza para cabello con procesos químicos</x:v>
      </x:c>
      <x:c r="L51" s="9" t="str">
        <x:v>Cabello teñido, alisado o procesado</x:v>
      </x:c>
      <x:c r="M51" s="9" t="str">
        <x:v>Cada lavado</x:v>
      </x:c>
      <x:c r="N51" s="9" t="str">
        <x:f>IF(H51&lt;=70000,"Económico",IF(H51&lt;=120000,"Medio",IF(H51&lt;=170000,"Alto","Premium")))</x:f>
        <x:v>Económico</x:v>
      </x:c>
      <x:c r="O51" s="11" t="b">
        <x:v>1</x:v>
      </x:c>
      <x:c r="P51" s="11" t="b">
        <x:v>1</x:v>
      </x:c>
      <x:c r="Q51" s="9" t="n">
        <x:v>139</x:v>
      </x:c>
      <x:c r="R51" s="9" t="str">
        <x:v>56796</x:v>
      </x:c>
      <x:c r="S51" s="9" t="str">
        <x:v>https://www.catalogoboticario.com/2026-catalogo-colombia/cat-col-t8-agosoto-2026/?page=1</x:v>
      </x:c>
      <x:c r="T51" s="12" t="n">
        <x:v>46242.208333333336</x:v>
      </x:c>
      <x:c r="U51" s="9" t="str">
        <x:v>Principal</x:v>
      </x:c>
    </x:row>
    <x:row r="52" ht="44" customHeight="1">
      <x:c r="A52" s="9" t="str">
        <x:v>OB050</x:v>
      </x:c>
      <x:c r="B52" s="9" t="str">
        <x:v>Cabello</x:v>
      </x:c>
      <x:c r="C52" s="9" t="str">
        <x:v>Shampoo</x:v>
      </x:c>
      <x:c r="D52" s="9" t="str">
        <x:v>Crecimiento</x:v>
      </x:c>
      <x:c r="E52" s="9" t="str">
        <x:v>Unisex</x:v>
      </x:c>
      <x:c r="F52" s="9" t="str">
        <x:v>Match Science Shampoo de Crecimiento</x:v>
      </x:c>
      <x:c r="G52" s="9" t="str">
        <x:v>300 ml</x:v>
      </x:c>
      <x:c r="H52" s="10" t="n">
        <x:v>49900</x:v>
      </x:c>
      <x:c r="I52" s="9" t="str">
        <x:v>Baicapil + aceite de ricino</x:v>
      </x:c>
      <x:c r="J52" s="9" t="n">
        <x:v>1</x:v>
      </x:c>
      <x:c r="K52" s="9" t="str">
        <x:v>Apoyar crecimiento fuerte y sano</x:v>
      </x:c>
      <x:c r="L52" s="9" t="str">
        <x:v>Cabello débil o con bajo crecimiento</x:v>
      </x:c>
      <x:c r="M52" s="9" t="str">
        <x:v>Cada lavado</x:v>
      </x:c>
      <x:c r="N52" s="9" t="str">
        <x:f>IF(H52&lt;=70000,"Económico",IF(H52&lt;=120000,"Medio",IF(H52&lt;=170000,"Alto","Premium")))</x:f>
        <x:v>Económico</x:v>
      </x:c>
      <x:c r="O52" s="11" t="b">
        <x:v>1</x:v>
      </x:c>
      <x:c r="P52" s="11" t="b">
        <x:v>1</x:v>
      </x:c>
      <x:c r="Q52" s="9" t="n">
        <x:v>140</x:v>
      </x:c>
      <x:c r="R52" s="9" t="str">
        <x:v>56809</x:v>
      </x:c>
      <x:c r="S52" s="9" t="str">
        <x:v>https://www.catalogoboticario.com/2026-catalogo-colombia/cat-col-t8-agosoto-2026/?page=1</x:v>
      </x:c>
      <x:c r="T52" s="12" t="n">
        <x:v>46242.208333333336</x:v>
      </x:c>
      <x:c r="U52" s="9" t="str">
        <x:v>Alternativa</x:v>
      </x:c>
    </x:row>
    <x:row r="53" ht="44" customHeight="1">
      <x:c r="A53" s="9" t="str">
        <x:v>OB051</x:v>
      </x:c>
      <x:c r="B53" s="9" t="str">
        <x:v>Cabello</x:v>
      </x:c>
      <x:c r="C53" s="9" t="str">
        <x:v>Shampoo</x:v>
      </x:c>
      <x:c r="D53" s="9" t="str">
        <x:v>Nutrición</x:v>
      </x:c>
      <x:c r="E53" s="9" t="str">
        <x:v>Unisex</x:v>
      </x:c>
      <x:c r="F53" s="9" t="str">
        <x:v>Match Shampoo Nutrición Profunda</x:v>
      </x:c>
      <x:c r="G53" s="9" t="str">
        <x:v>300 ml</x:v>
      </x:c>
      <x:c r="H53" s="10" t="n">
        <x:v>49900</x:v>
      </x:c>
      <x:c r="I53" s="9" t="str">
        <x:v>Óleos purificados</x:v>
      </x:c>
      <x:c r="J53" s="9" t="n">
        <x:v>1</x:v>
      </x:c>
      <x:c r="K53" s="9" t="str">
        <x:v>Nutrición y suavidad</x:v>
      </x:c>
      <x:c r="L53" s="9" t="str">
        <x:v>Cabello seco u opaco</x:v>
      </x:c>
      <x:c r="M53" s="9" t="str">
        <x:v>Cada lavado</x:v>
      </x:c>
      <x:c r="N53" s="9" t="str">
        <x:f>IF(H53&lt;=70000,"Económico",IF(H53&lt;=120000,"Medio",IF(H53&lt;=170000,"Alto","Premium")))</x:f>
        <x:v>Económico</x:v>
      </x:c>
      <x:c r="O53" s="11" t="b">
        <x:v>1</x:v>
      </x:c>
      <x:c r="P53" s="11" t="b">
        <x:v>1</x:v>
      </x:c>
      <x:c r="Q53" s="9" t="n">
        <x:v>141</x:v>
      </x:c>
      <x:c r="R53" s="9" t="str">
        <x:v>59579</x:v>
      </x:c>
      <x:c r="S53" s="9" t="str">
        <x:v>https://www.catalogoboticario.com/2026-catalogo-colombia/cat-col-t8-agosoto-2026/?page=1</x:v>
      </x:c>
      <x:c r="T53" s="12" t="n">
        <x:v>46242.208333333336</x:v>
      </x:c>
      <x:c r="U53" s="9" t="str">
        <x:v>Alternativa</x:v>
      </x:c>
    </x:row>
    <x:row r="54" ht="44" customHeight="1">
      <x:c r="A54" s="9" t="str">
        <x:v>OB052</x:v>
      </x:c>
      <x:c r="B54" s="9" t="str">
        <x:v>Cabello</x:v>
      </x:c>
      <x:c r="C54" s="9" t="str">
        <x:v>Shampoo</x:v>
      </x:c>
      <x:c r="D54" s="9" t="str">
        <x:v>Ondas y rizos</x:v>
      </x:c>
      <x:c r="E54" s="9" t="str">
        <x:v>Unisex</x:v>
      </x:c>
      <x:c r="F54" s="9" t="str">
        <x:v>Match Shampoo Ciencia de las Curvas</x:v>
      </x:c>
      <x:c r="G54" s="9" t="str">
        <x:v>300 ml</x:v>
      </x:c>
      <x:c r="H54" s="10" t="n">
        <x:v>49900</x:v>
      </x:c>
      <x:c r="I54" s="9" t="str">
        <x:v>Óleos africanos y blend hidratante</x:v>
      </x:c>
      <x:c r="J54" s="9" t="n">
        <x:v>1</x:v>
      </x:c>
      <x:c r="K54" s="9" t="str">
        <x:v>Limpieza para ondas, rizos y crespos</x:v>
      </x:c>
      <x:c r="L54" s="9" t="str">
        <x:v>Cabellos 2A a 4C</x:v>
      </x:c>
      <x:c r="M54" s="9" t="str">
        <x:v>Cada lavado</x:v>
      </x:c>
      <x:c r="N54" s="9" t="str">
        <x:f>IF(H54&lt;=70000,"Económico",IF(H54&lt;=120000,"Medio",IF(H54&lt;=170000,"Alto","Premium")))</x:f>
        <x:v>Económico</x:v>
      </x:c>
      <x:c r="O54" s="11" t="b">
        <x:v>1</x:v>
      </x:c>
      <x:c r="P54" s="11" t="b">
        <x:v>1</x:v>
      </x:c>
      <x:c r="Q54" s="9" t="n">
        <x:v>142</x:v>
      </x:c>
      <x:c r="R54" s="9" t="str">
        <x:v>86671</x:v>
      </x:c>
      <x:c r="S54" s="9" t="str">
        <x:v>https://www.catalogoboticario.com/2026-catalogo-colombia/cat-col-t8-agosoto-2026/?page=1</x:v>
      </x:c>
      <x:c r="T54" s="12" t="n">
        <x:v>46242.208333333336</x:v>
      </x:c>
      <x:c r="U54" s="9" t="str">
        <x:v>Alternativa</x:v>
      </x:c>
    </x:row>
    <x:row r="55" ht="44" customHeight="1">
      <x:c r="A55" s="9" t="str">
        <x:v>OB053</x:v>
      </x:c>
      <x:c r="B55" s="9" t="str">
        <x:v>Cabello</x:v>
      </x:c>
      <x:c r="C55" s="9" t="str">
        <x:v>Acondicionador</x:v>
      </x:c>
      <x:c r="D55" s="9" t="str">
        <x:v>Daño químico</x:v>
      </x:c>
      <x:c r="E55" s="9" t="str">
        <x:v>Unisex</x:v>
      </x:c>
      <x:c r="F55" s="9" t="str">
        <x:v>Match Acondicionador Pre y Pos Química</x:v>
      </x:c>
      <x:c r="G55" s="9" t="str">
        <x:v>280 ml</x:v>
      </x:c>
      <x:c r="H55" s="10" t="n">
        <x:v>49900</x:v>
      </x:c>
      <x:c r="I55" s="9" t="str">
        <x:v>Reconstrucción</x:v>
      </x:c>
      <x:c r="J55" s="9" t="n">
        <x:v>1</x:v>
      </x:c>
      <x:c r="K55" s="9" t="str">
        <x:v>Acondicionar cabello procesado</x:v>
      </x:c>
      <x:c r="L55" s="9" t="str">
        <x:v>Cabello teñido, alisado o procesado</x:v>
      </x:c>
      <x:c r="M55" s="9" t="str">
        <x:v>Después del shampoo</x:v>
      </x:c>
      <x:c r="N55" s="9" t="str">
        <x:f>IF(H55&lt;=70000,"Económico",IF(H55&lt;=120000,"Medio",IF(H55&lt;=170000,"Alto","Premium")))</x:f>
        <x:v>Económico</x:v>
      </x:c>
      <x:c r="O55" s="11" t="b">
        <x:v>1</x:v>
      </x:c>
      <x:c r="P55" s="11" t="b">
        <x:v>1</x:v>
      </x:c>
      <x:c r="Q55" s="9" t="n">
        <x:v>139</x:v>
      </x:c>
      <x:c r="R55" s="9" t="str">
        <x:v>56797</x:v>
      </x:c>
      <x:c r="S55" s="9" t="str">
        <x:v>https://www.catalogoboticario.com/2026-catalogo-colombia/cat-col-t8-agosoto-2026/?page=1</x:v>
      </x:c>
      <x:c r="T55" s="12" t="n">
        <x:v>46242.208333333336</x:v>
      </x:c>
      <x:c r="U55" s="9" t="str">
        <x:v>Principal</x:v>
      </x:c>
    </x:row>
    <x:row r="56" ht="44" customHeight="1">
      <x:c r="A56" s="9" t="str">
        <x:v>OB054</x:v>
      </x:c>
      <x:c r="B56" s="9" t="str">
        <x:v>Cabello</x:v>
      </x:c>
      <x:c r="C56" s="9" t="str">
        <x:v>Acondicionador</x:v>
      </x:c>
      <x:c r="D56" s="9" t="str">
        <x:v>Crecimiento</x:v>
      </x:c>
      <x:c r="E56" s="9" t="str">
        <x:v>Unisex</x:v>
      </x:c>
      <x:c r="F56" s="9" t="str">
        <x:v>Match Science Acondicionador de Crecimiento</x:v>
      </x:c>
      <x:c r="G56" s="9" t="str">
        <x:v>280 ml</x:v>
      </x:c>
      <x:c r="H56" s="10" t="n">
        <x:v>49900</x:v>
      </x:c>
      <x:c r="I56" s="9" t="str">
        <x:v>Baicapil + aceite de ricino</x:v>
      </x:c>
      <x:c r="J56" s="9" t="n">
        <x:v>1</x:v>
      </x:c>
      <x:c r="K56" s="9" t="str">
        <x:v>Acondicionar y apoyar crecimiento</x:v>
      </x:c>
      <x:c r="L56" s="9" t="str">
        <x:v>Cabello débil o con bajo crecimiento</x:v>
      </x:c>
      <x:c r="M56" s="9" t="str">
        <x:v>Después del shampoo</x:v>
      </x:c>
      <x:c r="N56" s="9" t="str">
        <x:f>IF(H56&lt;=70000,"Económico",IF(H56&lt;=120000,"Medio",IF(H56&lt;=170000,"Alto","Premium")))</x:f>
        <x:v>Económico</x:v>
      </x:c>
      <x:c r="O56" s="11" t="b">
        <x:v>1</x:v>
      </x:c>
      <x:c r="P56" s="11" t="b">
        <x:v>1</x:v>
      </x:c>
      <x:c r="Q56" s="9" t="n">
        <x:v>140</x:v>
      </x:c>
      <x:c r="R56" s="9" t="str">
        <x:v>56810</x:v>
      </x:c>
      <x:c r="S56" s="9" t="str">
        <x:v>https://www.catalogoboticario.com/2026-catalogo-colombia/cat-col-t8-agosoto-2026/?page=1</x:v>
      </x:c>
      <x:c r="T56" s="12" t="n">
        <x:v>46242.208333333336</x:v>
      </x:c>
      <x:c r="U56" s="9" t="str">
        <x:v>Alternativa</x:v>
      </x:c>
    </x:row>
    <x:row r="57" ht="44" customHeight="1">
      <x:c r="A57" s="9" t="str">
        <x:v>OB055</x:v>
      </x:c>
      <x:c r="B57" s="9" t="str">
        <x:v>Cabello</x:v>
      </x:c>
      <x:c r="C57" s="9" t="str">
        <x:v>Acondicionador</x:v>
      </x:c>
      <x:c r="D57" s="9" t="str">
        <x:v>Nutrición</x:v>
      </x:c>
      <x:c r="E57" s="9" t="str">
        <x:v>Unisex</x:v>
      </x:c>
      <x:c r="F57" s="9" t="str">
        <x:v>Match Acondicionador Nutrición Profunda</x:v>
      </x:c>
      <x:c r="G57" s="9" t="str">
        <x:v>280 ml</x:v>
      </x:c>
      <x:c r="H57" s="10" t="n">
        <x:v>49900</x:v>
      </x:c>
      <x:c r="I57" s="9" t="str">
        <x:v>Óleos purificados</x:v>
      </x:c>
      <x:c r="J57" s="9" t="n">
        <x:v>1</x:v>
      </x:c>
      <x:c r="K57" s="9" t="str">
        <x:v>Nutrición y suavidad</x:v>
      </x:c>
      <x:c r="L57" s="9" t="str">
        <x:v>Cabello seco u opaco</x:v>
      </x:c>
      <x:c r="M57" s="9" t="str">
        <x:v>Después del shampoo</x:v>
      </x:c>
      <x:c r="N57" s="9" t="str">
        <x:f>IF(H57&lt;=70000,"Económico",IF(H57&lt;=120000,"Medio",IF(H57&lt;=170000,"Alto","Premium")))</x:f>
        <x:v>Económico</x:v>
      </x:c>
      <x:c r="O57" s="11" t="b">
        <x:v>1</x:v>
      </x:c>
      <x:c r="P57" s="11" t="b">
        <x:v>1</x:v>
      </x:c>
      <x:c r="Q57" s="9" t="n">
        <x:v>141</x:v>
      </x:c>
      <x:c r="R57" s="9" t="str">
        <x:v>82705</x:v>
      </x:c>
      <x:c r="S57" s="9" t="str">
        <x:v>https://www.catalogoboticario.com/2026-catalogo-colombia/cat-col-t8-agosoto-2026/?page=1</x:v>
      </x:c>
      <x:c r="T57" s="12" t="n">
        <x:v>46242.208333333336</x:v>
      </x:c>
      <x:c r="U57" s="9" t="str">
        <x:v>Alternativa</x:v>
      </x:c>
    </x:row>
    <x:row r="58" ht="44" customHeight="1">
      <x:c r="A58" s="9" t="str">
        <x:v>OB056</x:v>
      </x:c>
      <x:c r="B58" s="9" t="str">
        <x:v>Cabello</x:v>
      </x:c>
      <x:c r="C58" s="9" t="str">
        <x:v>Acondicionador</x:v>
      </x:c>
      <x:c r="D58" s="9" t="str">
        <x:v>Ondas y rizos</x:v>
      </x:c>
      <x:c r="E58" s="9" t="str">
        <x:v>Unisex</x:v>
      </x:c>
      <x:c r="F58" s="9" t="str">
        <x:v>Match Acondicionador Ciencia de las Curvas</x:v>
      </x:c>
      <x:c r="G58" s="9" t="str">
        <x:v>300 ml</x:v>
      </x:c>
      <x:c r="H58" s="10" t="n">
        <x:v>49900</x:v>
      </x:c>
      <x:c r="I58" s="9" t="str">
        <x:v>Óleos africanos y blend hidratante</x:v>
      </x:c>
      <x:c r="J58" s="9" t="n">
        <x:v>1</x:v>
      </x:c>
      <x:c r="K58" s="9" t="str">
        <x:v>Acondicionar ondas, rizos y crespos</x:v>
      </x:c>
      <x:c r="L58" s="9" t="str">
        <x:v>Cabellos 2A a 4C</x:v>
      </x:c>
      <x:c r="M58" s="9" t="str">
        <x:v>Después del shampoo</x:v>
      </x:c>
      <x:c r="N58" s="9" t="str">
        <x:f>IF(H58&lt;=70000,"Económico",IF(H58&lt;=120000,"Medio",IF(H58&lt;=170000,"Alto","Premium")))</x:f>
        <x:v>Económico</x:v>
      </x:c>
      <x:c r="O58" s="11" t="b">
        <x:v>1</x:v>
      </x:c>
      <x:c r="P58" s="11" t="b">
        <x:v>1</x:v>
      </x:c>
      <x:c r="Q58" s="9" t="n">
        <x:v>142</x:v>
      </x:c>
      <x:c r="R58" s="9" t="str">
        <x:v>86668</x:v>
      </x:c>
      <x:c r="S58" s="9" t="str">
        <x:v>https://www.catalogoboticario.com/2026-catalogo-colombia/cat-col-t8-agosoto-2026/?page=1</x:v>
      </x:c>
      <x:c r="T58" s="12" t="n">
        <x:v>46242.208333333336</x:v>
      </x:c>
      <x:c r="U58" s="9" t="str">
        <x:v>Alternativa</x:v>
      </x:c>
    </x:row>
    <x:row r="59" ht="44" customHeight="1">
      <x:c r="A59" s="9" t="str">
        <x:v>OB057</x:v>
      </x:c>
      <x:c r="B59" s="9" t="str">
        <x:v>Cabello</x:v>
      </x:c>
      <x:c r="C59" s="9" t="str">
        <x:v>Tratamiento capilar</x:v>
      </x:c>
      <x:c r="D59" s="9" t="str">
        <x:v>Crecimiento tónico</x:v>
      </x:c>
      <x:c r="E59" s="9" t="str">
        <x:v>Unisex</x:v>
      </x:c>
      <x:c r="F59" s="9" t="str">
        <x:v>Match Tónico de Crecimiento</x:v>
      </x:c>
      <x:c r="G59" s="9" t="str">
        <x:v>65 ml</x:v>
      </x:c>
      <x:c r="H59" s="10" t="n">
        <x:v>62900</x:v>
      </x:c>
      <x:c r="I59" s="9" t="str">
        <x:v>Baicapil + aceite de ricino</x:v>
      </x:c>
      <x:c r="J59" s="9" t="n">
        <x:v>1</x:v>
      </x:c>
      <x:c r="K59" s="9" t="str">
        <x:v>Estimular rutina de crecimiento</x:v>
      </x:c>
      <x:c r="L59" s="9" t="str">
        <x:v>Cabello débil o con bajo crecimiento</x:v>
      </x:c>
      <x:c r="M59" s="9" t="str">
        <x:v>Según instrucciones</x:v>
      </x:c>
      <x:c r="N59" s="9" t="str">
        <x:f>IF(H59&lt;=70000,"Económico",IF(H59&lt;=120000,"Medio",IF(H59&lt;=170000,"Alto","Premium")))</x:f>
        <x:v>Económico</x:v>
      </x:c>
      <x:c r="O59" s="11" t="b">
        <x:v>1</x:v>
      </x:c>
      <x:c r="P59" s="11" t="b">
        <x:v>1</x:v>
      </x:c>
      <x:c r="Q59" s="9" t="n">
        <x:v>140</x:v>
      </x:c>
      <x:c r="R59" s="9" t="str">
        <x:v>56812</x:v>
      </x:c>
      <x:c r="S59" s="9" t="str">
        <x:v>https://www.catalogoboticario.com/2026-catalogo-colombia/cat-col-t8-agosoto-2026/?page=1</x:v>
      </x:c>
      <x:c r="T59" s="12" t="n">
        <x:v>46242.208333333336</x:v>
      </x:c>
      <x:c r="U59" s="9" t="str">
        <x:v>Principal</x:v>
      </x:c>
    </x:row>
    <x:row r="60" ht="44" customHeight="1">
      <x:c r="A60" s="9" t="str">
        <x:v>OB058</x:v>
      </x:c>
      <x:c r="B60" s="9" t="str">
        <x:v>Cabello</x:v>
      </x:c>
      <x:c r="C60" s="9" t="str">
        <x:v>Tratamiento capilar</x:v>
      </x:c>
      <x:c r="D60" s="9" t="str">
        <x:v>Crecimiento máscara</x:v>
      </x:c>
      <x:c r="E60" s="9" t="str">
        <x:v>Unisex</x:v>
      </x:c>
      <x:c r="F60" s="9" t="str">
        <x:v>Match Máscara capilar de Crecimiento</x:v>
      </x:c>
      <x:c r="G60" s="9" t="str">
        <x:v>250 g</x:v>
      </x:c>
      <x:c r="H60" s="10" t="n">
        <x:v>62900</x:v>
      </x:c>
      <x:c r="I60" s="9" t="str">
        <x:v>Baicapil + aceite de ricino</x:v>
      </x:c>
      <x:c r="J60" s="9" t="n">
        <x:v>1</x:v>
      </x:c>
      <x:c r="K60" s="9" t="str">
        <x:v>Nutrir y fortalecer</x:v>
      </x:c>
      <x:c r="L60" s="9" t="str">
        <x:v>Cabello débil o con bajo crecimiento</x:v>
      </x:c>
      <x:c r="M60" s="9" t="str">
        <x:v>Tratamiento semanal</x:v>
      </x:c>
      <x:c r="N60" s="9" t="str">
        <x:f>IF(H60&lt;=70000,"Económico",IF(H60&lt;=120000,"Medio",IF(H60&lt;=170000,"Alto","Premium")))</x:f>
        <x:v>Económico</x:v>
      </x:c>
      <x:c r="O60" s="11" t="b">
        <x:v>1</x:v>
      </x:c>
      <x:c r="P60" s="11" t="b">
        <x:v>1</x:v>
      </x:c>
      <x:c r="Q60" s="9" t="n">
        <x:v>140</x:v>
      </x:c>
      <x:c r="R60" s="9" t="str">
        <x:v>56811</x:v>
      </x:c>
      <x:c r="S60" s="9" t="str">
        <x:v>https://www.catalogoboticario.com/2026-catalogo-colombia/cat-col-t8-agosoto-2026/?page=1</x:v>
      </x:c>
      <x:c r="T60" s="12" t="n">
        <x:v>46242.208333333336</x:v>
      </x:c>
      <x:c r="U60" s="9" t="str">
        <x:v>Alternativa</x:v>
      </x:c>
    </x:row>
    <x:row r="61" ht="44" customHeight="1">
      <x:c r="A61" s="9" t="str">
        <x:v>OB059</x:v>
      </x:c>
      <x:c r="B61" s="9" t="str">
        <x:v>Cabello</x:v>
      </x:c>
      <x:c r="C61" s="9" t="str">
        <x:v>Tratamiento capilar</x:v>
      </x:c>
      <x:c r="D61" s="9" t="str">
        <x:v>Rubios matizante</x:v>
      </x:c>
      <x:c r="E61" s="9" t="str">
        <x:v>Unisex</x:v>
      </x:c>
      <x:c r="F61" s="9" t="str">
        <x:v>Match Máscara capilar matizante Rubio Reparado</x:v>
      </x:c>
      <x:c r="G61" s="9" t="str">
        <x:v>250 g</x:v>
      </x:c>
      <x:c r="H61" s="10" t="n">
        <x:v>62900</x:v>
      </x:c>
      <x:c r="I61" s="9" t="str">
        <x:v>Ácido láctico y activos reparadores</x:v>
      </x:c>
      <x:c r="J61" s="9" t="n">
        <x:v>1</x:v>
      </x:c>
      <x:c r="K61" s="9" t="str">
        <x:v>Matizar y reparar cabellos rubios</x:v>
      </x:c>
      <x:c r="L61" s="9" t="str">
        <x:v>Cabello rubio o decolorado</x:v>
      </x:c>
      <x:c r="M61" s="9" t="str">
        <x:v>Tratamiento semanal</x:v>
      </x:c>
      <x:c r="N61" s="9" t="str">
        <x:f>IF(H61&lt;=70000,"Económico",IF(H61&lt;=120000,"Medio",IF(H61&lt;=170000,"Alto","Premium")))</x:f>
        <x:v>Económico</x:v>
      </x:c>
      <x:c r="O61" s="11" t="b">
        <x:v>1</x:v>
      </x:c>
      <x:c r="P61" s="11" t="b">
        <x:v>1</x:v>
      </x:c>
      <x:c r="Q61" s="9" t="n">
        <x:v>141</x:v>
      </x:c>
      <x:c r="R61" s="9" t="str">
        <x:v>82826</x:v>
      </x:c>
      <x:c r="S61" s="9" t="str">
        <x:v>https://www.catalogoboticario.com/2026-catalogo-colombia/cat-col-t8-agosoto-2026/?page=1</x:v>
      </x:c>
      <x:c r="T61" s="12" t="n">
        <x:v>46242.208333333336</x:v>
      </x:c>
      <x:c r="U61" s="9" t="str">
        <x:v>Alternativa</x:v>
      </x:c>
    </x:row>
    <x:row r="62" ht="44" customHeight="1">
      <x:c r="A62" s="9" t="str">
        <x:v>OB060</x:v>
      </x:c>
      <x:c r="B62" s="9" t="str">
        <x:v>Cabello</x:v>
      </x:c>
      <x:c r="C62" s="9" t="str">
        <x:v>Tratamiento capilar</x:v>
      </x:c>
      <x:c r="D62" s="9" t="str">
        <x:v>Rizos hidratación</x:v>
      </x:c>
      <x:c r="E62" s="9" t="str">
        <x:v>Unisex</x:v>
      </x:c>
      <x:c r="F62" s="9" t="str">
        <x:v>Match Máscara capilar hidratante Ciencia de las Curvas 2-3ABC</x:v>
      </x:c>
      <x:c r="G62" s="9" t="str">
        <x:v>50 ml</x:v>
      </x:c>
      <x:c r="H62" s="10" t="n">
        <x:v>32900</x:v>
      </x:c>
      <x:c r="I62" s="9" t="str">
        <x:v>Blend hidratante</x:v>
      </x:c>
      <x:c r="J62" s="9" t="n">
        <x:v>1</x:v>
      </x:c>
      <x:c r="K62" s="9" t="str">
        <x:v>Hidratación de ondas y rizos</x:v>
      </x:c>
      <x:c r="L62" s="9" t="str">
        <x:v>Cabellos 2A a 3C</x:v>
      </x:c>
      <x:c r="M62" s="9" t="str">
        <x:v>Según necesidad</x:v>
      </x:c>
      <x:c r="N62" s="9" t="str">
        <x:f>IF(H62&lt;=70000,"Económico",IF(H62&lt;=120000,"Medio",IF(H62&lt;=170000,"Alto","Premium")))</x:f>
        <x:v>Económico</x:v>
      </x:c>
      <x:c r="O62" s="11" t="b">
        <x:v>1</x:v>
      </x:c>
      <x:c r="P62" s="11" t="b">
        <x:v>1</x:v>
      </x:c>
      <x:c r="Q62" s="9" t="n">
        <x:v>142</x:v>
      </x:c>
      <x:c r="R62" s="9" t="str">
        <x:v>57780</x:v>
      </x:c>
      <x:c r="S62" s="9" t="str">
        <x:v>https://www.catalogoboticario.com/2026-catalogo-colombia/cat-col-t8-agosoto-2026/?page=1</x:v>
      </x:c>
      <x:c r="T62" s="12" t="n">
        <x:v>46242.208333333336</x:v>
      </x:c>
      <x:c r="U62" s="9" t="str">
        <x:v>Alternativa</x:v>
      </x:c>
    </x:row>
    <x:row r="63" ht="44" customHeight="1">
      <x:c r="A63" s="9" t="str">
        <x:v>OB061</x:v>
      </x:c>
      <x:c r="B63" s="9" t="str">
        <x:v>Cabello</x:v>
      </x:c>
      <x:c r="C63" s="9" t="str">
        <x:v>Finalizador o protector</x:v>
      </x:c>
      <x:c r="D63" s="9" t="str">
        <x:v>Daño químico</x:v>
      </x:c>
      <x:c r="E63" s="9" t="str">
        <x:v>Unisex</x:v>
      </x:c>
      <x:c r="F63" s="9" t="str">
        <x:v>Match Queratina concentrada Pre y Pos Química</x:v>
      </x:c>
      <x:c r="G63" s="9" t="str">
        <x:v>50 ml</x:v>
      </x:c>
      <x:c r="H63" s="10" t="n">
        <x:v>62900</x:v>
      </x:c>
      <x:c r="I63" s="9" t="str">
        <x:v>Queratina</x:v>
      </x:c>
      <x:c r="J63" s="9" t="n">
        <x:v>1</x:v>
      </x:c>
      <x:c r="K63" s="9" t="str">
        <x:v>Protección y reconstrucción</x:v>
      </x:c>
      <x:c r="L63" s="9" t="str">
        <x:v>Cabello con procesos químicos</x:v>
      </x:c>
      <x:c r="M63" s="9" t="str">
        <x:v>Antes o después de química</x:v>
      </x:c>
      <x:c r="N63" s="9" t="str">
        <x:f>IF(H63&lt;=70000,"Económico",IF(H63&lt;=120000,"Medio",IF(H63&lt;=170000,"Alto","Premium")))</x:f>
        <x:v>Económico</x:v>
      </x:c>
      <x:c r="O63" s="11" t="b">
        <x:v>1</x:v>
      </x:c>
      <x:c r="P63" s="11" t="b">
        <x:v>1</x:v>
      </x:c>
      <x:c r="Q63" s="9" t="n">
        <x:v>139</x:v>
      </x:c>
      <x:c r="R63" s="9" t="str">
        <x:v>56799</x:v>
      </x:c>
      <x:c r="S63" s="9" t="str">
        <x:v>https://www.catalogoboticario.com/2026-catalogo-colombia/cat-col-t8-agosoto-2026/?page=1</x:v>
      </x:c>
      <x:c r="T63" s="12" t="n">
        <x:v>46242.208333333336</x:v>
      </x:c>
      <x:c r="U63" s="9" t="str">
        <x:v>Principal</x:v>
      </x:c>
    </x:row>
    <x:row r="64" ht="44" customHeight="1">
      <x:c r="A64" s="9" t="str">
        <x:v>OB062</x:v>
      </x:c>
      <x:c r="B64" s="9" t="str">
        <x:v>Cabello</x:v>
      </x:c>
      <x:c r="C64" s="9" t="str">
        <x:v>Finalizador o protector</x:v>
      </x:c>
      <x:c r="D64" s="9" t="str">
        <x:v>Rubios</x:v>
      </x:c>
      <x:c r="E64" s="9" t="str">
        <x:v>Unisex</x:v>
      </x:c>
      <x:c r="F64" s="9" t="str">
        <x:v>Match Leave-in protección de los rubios reconstructor multibeneficios</x:v>
      </x:c>
      <x:c r="G64" s="9" t="str">
        <x:v>150 ml</x:v>
      </x:c>
      <x:c r="H64" s="10" t="n">
        <x:v>49900</x:v>
      </x:c>
      <x:c r="I64" s="9" t="str">
        <x:v>Ácido láctico y activos reparadores</x:v>
      </x:c>
      <x:c r="J64" s="9" t="n">
        <x:v>1</x:v>
      </x:c>
      <x:c r="K64" s="9" t="str">
        <x:v>Protección y reconstrucción de rubios</x:v>
      </x:c>
      <x:c r="L64" s="9" t="str">
        <x:v>Cabello rubio o decolorado</x:v>
      </x:c>
      <x:c r="M64" s="9" t="str">
        <x:v>Sin enjuague</x:v>
      </x:c>
      <x:c r="N64" s="9" t="str">
        <x:f>IF(H64&lt;=70000,"Económico",IF(H64&lt;=120000,"Medio",IF(H64&lt;=170000,"Alto","Premium")))</x:f>
        <x:v>Económico</x:v>
      </x:c>
      <x:c r="O64" s="11" t="b">
        <x:v>1</x:v>
      </x:c>
      <x:c r="P64" s="11" t="b">
        <x:v>1</x:v>
      </x:c>
      <x:c r="Q64" s="9" t="n">
        <x:v>141</x:v>
      </x:c>
      <x:c r="R64" s="9" t="str">
        <x:v>47968</x:v>
      </x:c>
      <x:c r="S64" s="9" t="str">
        <x:v>https://www.catalogoboticario.com/2026-catalogo-colombia/cat-col-t8-agosoto-2026/?page=1</x:v>
      </x:c>
      <x:c r="T64" s="12" t="n">
        <x:v>46242.208333333336</x:v>
      </x:c>
      <x:c r="U64" s="9" t="str">
        <x:v>Alternativa</x:v>
      </x:c>
    </x:row>
    <x:row r="65" ht="44" customHeight="1">
      <x:c r="A65" s="9" t="str">
        <x:v>OB063</x:v>
      </x:c>
      <x:c r="B65" s="9" t="str">
        <x:v>Cabello</x:v>
      </x:c>
      <x:c r="C65" s="9" t="str">
        <x:v>Finalizador o protector</x:v>
      </x:c>
      <x:c r="D65" s="9" t="str">
        <x:v>Nutrición</x:v>
      </x:c>
      <x:c r="E65" s="9" t="str">
        <x:v>Unisex</x:v>
      </x:c>
      <x:c r="F65" s="9" t="str">
        <x:v>Match Leave-in Nutrición Profunda</x:v>
      </x:c>
      <x:c r="G65" s="9" t="str">
        <x:v>150 ml</x:v>
      </x:c>
      <x:c r="H65" s="10" t="n">
        <x:v>49900</x:v>
      </x:c>
      <x:c r="I65" s="9" t="str">
        <x:v>Óleos purificados</x:v>
      </x:c>
      <x:c r="J65" s="9" t="n">
        <x:v>1</x:v>
      </x:c>
      <x:c r="K65" s="9" t="str">
        <x:v>Nutrición y protección diaria</x:v>
      </x:c>
      <x:c r="L65" s="9" t="str">
        <x:v>Cabello seco u opaco</x:v>
      </x:c>
      <x:c r="M65" s="9" t="str">
        <x:v>Sin enjuague</x:v>
      </x:c>
      <x:c r="N65" s="9" t="str">
        <x:f>IF(H65&lt;=70000,"Económico",IF(H65&lt;=120000,"Medio",IF(H65&lt;=170000,"Alto","Premium")))</x:f>
        <x:v>Económico</x:v>
      </x:c>
      <x:c r="O65" s="11" t="b">
        <x:v>1</x:v>
      </x:c>
      <x:c r="P65" s="11" t="b">
        <x:v>1</x:v>
      </x:c>
      <x:c r="Q65" s="9" t="n">
        <x:v>141</x:v>
      </x:c>
      <x:c r="R65" s="9" t="str">
        <x:v>82707</x:v>
      </x:c>
      <x:c r="S65" s="9" t="str">
        <x:v>https://www.catalogoboticario.com/2026-catalogo-colombia/cat-col-t8-agosoto-2026/?page=1</x:v>
      </x:c>
      <x:c r="T65" s="12" t="n">
        <x:v>46242.208333333336</x:v>
      </x:c>
      <x:c r="U65" s="9" t="str">
        <x:v>Alternativa</x:v>
      </x:c>
    </x:row>
    <x:row r="66" ht="44" customHeight="1">
      <x:c r="A66" s="9" t="str">
        <x:v>OB064</x:v>
      </x:c>
      <x:c r="B66" s="9" t="str">
        <x:v>Cabello</x:v>
      </x:c>
      <x:c r="C66" s="9" t="str">
        <x:v>Finalizador o protector</x:v>
      </x:c>
      <x:c r="D66" s="9" t="str">
        <x:v>Ondas y rizos</x:v>
      </x:c>
      <x:c r="E66" s="9" t="str">
        <x:v>Unisex</x:v>
      </x:c>
      <x:c r="F66" s="9" t="str">
        <x:v>Match Óleo multifuncional Ciencia de las Curvas</x:v>
      </x:c>
      <x:c r="G66" s="9" t="str">
        <x:v>50 ml</x:v>
      </x:c>
      <x:c r="H66" s="10" t="n">
        <x:v>49900</x:v>
      </x:c>
      <x:c r="I66" s="9" t="str">
        <x:v>Óleos africanos</x:v>
      </x:c>
      <x:c r="J66" s="9" t="n">
        <x:v>1</x:v>
      </x:c>
      <x:c r="K66" s="9" t="str">
        <x:v>Nutrición y definición</x:v>
      </x:c>
      <x:c r="L66" s="9" t="str">
        <x:v>Cabellos 2A a 4C</x:v>
      </x:c>
      <x:c r="M66" s="9" t="str">
        <x:v>Finalización</x:v>
      </x:c>
      <x:c r="N66" s="9" t="str">
        <x:f>IF(H66&lt;=70000,"Económico",IF(H66&lt;=120000,"Medio",IF(H66&lt;=170000,"Alto","Premium")))</x:f>
        <x:v>Económico</x:v>
      </x:c>
      <x:c r="O66" s="11" t="b">
        <x:v>1</x:v>
      </x:c>
      <x:c r="P66" s="11" t="b">
        <x:v>1</x:v>
      </x:c>
      <x:c r="Q66" s="9" t="n">
        <x:v>142</x:v>
      </x:c>
      <x:c r="R66" s="9" t="str">
        <x:v>52072</x:v>
      </x:c>
      <x:c r="S66" s="9" t="str">
        <x:v>https://www.catalogoboticario.com/2026-catalogo-colombia/cat-col-t8-agosoto-2026/?page=1</x:v>
      </x:c>
      <x:c r="T66" s="12" t="n">
        <x:v>46242.208333333336</x:v>
      </x:c>
      <x:c r="U66" s="9" t="str">
        <x:v>Alternativa</x:v>
      </x:c>
    </x:row>
  </x:sheetData>
  <x:mergeCells>
    <x:mergeCell ref="A1:U1"/>
  </x:mergeCells>
  <x:conditionalFormatting sqref="O3:P66">
    <x:cfRule type="cellIs" dxfId="0" priority="1" operator="equal">
      <x:formula>TRUE</x:formula>
    </x:cfRule>
    <x:cfRule type="cellIs" dxfId="1" priority="2" operator="equal">
      <x:formula>FALSE</x:formula>
    </x:cfRule>
  </x:conditionalFormatting>
  <x:dataValidations count="2">
    <x:dataValidation type="list" sqref="O3:P66">
      <x:formula1>"true,false"</x:formula1>
    </x:dataValidation>
    <x:dataValidation type="list" sqref="U3:U66">
      <x:formula1>"Principal,Alternativa,Complemento,Pendiente"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d04b309b6d47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55" hidden="0" customWidth="1"/>
    <x:col min="5" max="5" width="24" hidden="0" customWidth="1"/>
    <x:col min="6" max="6" width="18" hidden="0" customWidth="1"/>
    <x:col min="7" max="7" width="12" hidden="0" customWidth="1"/>
    <x:col min="8" max="8" width="16" hidden="0" customWidth="1"/>
    <x:col min="9" max="9" width="34" hidden="0" customWidth="1"/>
  </x:cols>
  <x:sheetData>
    <x:row r="1" ht="30" customHeight="1">
      <x:c r="A1" s="13" t="str">
        <x:v>Kits comerciales sugeridos - separados de productos individuales</x:v>
      </x:c>
      <x:c r="B1" s="13"/>
      <x:c r="C1" s="13"/>
      <x:c r="D1" s="13"/>
      <x:c r="E1" s="13"/>
      <x:c r="F1" s="13"/>
      <x:c r="G1" s="13"/>
      <x:c r="H1" s="13"/>
      <x:c r="I1" s="1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6" t="str">
        <x:v>ID kit</x:v>
      </x:c>
      <x:c r="B2" s="6" t="str">
        <x:v>Nombre comercial sugerido</x:v>
      </x:c>
      <x:c r="C2" s="6" t="str">
        <x:v>Destinatario</x:v>
      </x:c>
      <x:c r="D2" s="6" t="str">
        <x:v>Componentes</x:v>
      </x:c>
      <x:c r="E2" s="6" t="str">
        <x:v>Códigos</x:v>
      </x:c>
      <x:c r="F2" s="6" t="str">
        <x:v>Precio calculado COP</x:v>
      </x:c>
      <x:c r="G2" s="6" t="str">
        <x:v>Disponible</x:v>
      </x:c>
      <x:c r="H2" s="6" t="str">
        <x:v>Página(s) origen</x:v>
      </x:c>
      <x:c r="I2" s="6" t="str">
        <x:v>Nota</x:v>
      </x:c>
    </x:row>
    <x:row r="3" ht="58" customHeight="1">
      <x:c r="A3" t="str">
        <x:v>KIT01</x:v>
      </x:c>
      <x:c r="B3" t="str">
        <x:v>Kit Floratta Red romántico</x:v>
      </x:c>
      <x:c r="C3" t="str">
        <x:v>Mujer</x:v>
      </x:c>
      <x:c r="D3" t="str">
        <x:v>Floratta Red EDT 75 ml + Body Spray Red 100 ml + Jabón líquido Red 150 ml</x:v>
      </x:c>
      <x:c r="E3" t="str">
        <x:v>62330+85483+86768</x:v>
      </x:c>
      <x:c r="F3" s="7" t="n">
        <x:v>246700</x:v>
      </x:c>
      <x:c r="G3" s="1" t="b">
        <x:v>1</x:v>
      </x:c>
      <x:c r="H3" t="str">
        <x:v>13</x:v>
      </x:c>
      <x:c r="I3" t="str">
        <x:v>Combinación sugerida; no es SKU oficial</x:v>
      </x:c>
    </x:row>
    <x:row r="4" ht="58" customHeight="1">
      <x:c r="A4" t="str">
        <x:v>KIT02</x:v>
      </x:c>
      <x:c r="B4" t="str">
        <x:v>Kit L'Eau de Lily elegante</x:v>
      </x:c>
      <x:c r="C4" t="str">
        <x:v>Mujer</x:v>
      </x:c>
      <x:c r="D4" t="str">
        <x:v>L'Eau de Lily 75 ml + Óleo perfumado corporal 150 ml</x:v>
      </x:c>
      <x:c r="E4" t="str">
        <x:v>89371+63828</x:v>
      </x:c>
      <x:c r="F4" s="7" t="n">
        <x:v>230800</x:v>
      </x:c>
      <x:c r="G4" s="1" t="b">
        <x:v>1</x:v>
      </x:c>
      <x:c r="H4" t="str">
        <x:v>20</x:v>
      </x:c>
      <x:c r="I4" t="str">
        <x:v>Combinación sugerida; no es SKU oficial</x:v>
      </x:c>
    </x:row>
    <x:row r="5" ht="58" customHeight="1">
      <x:c r="A5" t="str">
        <x:v>KIT03</x:v>
      </x:c>
      <x:c r="B5" t="str">
        <x:v>Kit Malbec Black Legend</x:v>
      </x:c>
      <x:c r="C5" t="str">
        <x:v>Hombre</x:v>
      </x:c>
      <x:c r="D5" t="str">
        <x:v>Malbec Black Legend EDT 100 ml + Loción corporal 200 ml</x:v>
      </x:c>
      <x:c r="E5" t="str">
        <x:v>63706+63818</x:v>
      </x:c>
      <x:c r="F5" s="7" t="n">
        <x:v>233800</x:v>
      </x:c>
      <x:c r="G5" s="1" t="b">
        <x:v>1</x:v>
      </x:c>
      <x:c r="H5" t="str">
        <x:v>36</x:v>
      </x:c>
      <x:c r="I5" t="str">
        <x:v>Combinación sugerida; no es SKU oficial</x:v>
      </x:c>
    </x:row>
    <x:row r="6" ht="58" customHeight="1">
      <x:c r="A6" t="str">
        <x:v>KIT04</x:v>
      </x:c>
      <x:c r="B6" t="str">
        <x:v>Kit Nativa SPA Lilac</x:v>
      </x:c>
      <x:c r="C6" t="str">
        <x:v>Unisex</x:v>
      </x:c>
      <x:c r="D6" t="str">
        <x:v>Loción Lilac 400 ml + Body Splash Lilac 200 ml + Jabones Lilac 2x90 g</x:v>
      </x:c>
      <x:c r="E6" t="str">
        <x:v>63108+63788+52353</x:v>
      </x:c>
      <x:c r="F6" s="7" t="n">
        <x:v>198700</x:v>
      </x:c>
      <x:c r="G6" s="1" t="b">
        <x:v>1</x:v>
      </x:c>
      <x:c r="H6" t="str">
        <x:v>76</x:v>
      </x:c>
      <x:c r="I6" t="str">
        <x:v>Combinación sugerida; no es SKU oficial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7ce31e198dd42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2" hidden="0" customWidth="1"/>
    <x:col min="5" max="5" width="14" hidden="0" customWidth="1"/>
  </x:cols>
  <x:sheetData>
    <x:row r="1" ht="30" customHeight="1">
      <x:c r="A1" s="3" t="str">
        <x:v>Cobertura de tipos comparables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6" t="str">
        <x:v>Categoría</x:v>
      </x:c>
      <x:c r="B2" s="6" t="str">
        <x:v>Tipo comparable</x:v>
      </x:c>
      <x:c r="C2" s="6" t="str">
        <x:v>Meta</x:v>
      </x:c>
      <x:c r="D2" s="6" t="str">
        <x:v>Productos</x:v>
      </x:c>
      <x:c r="E2" s="6" t="str">
        <x:v>Estado</x:v>
      </x:c>
    </x:row>
    <x:row r="3">
      <x:c r="A3" t="str">
        <x:v>Perfumería</x:v>
      </x:c>
      <x:c r="B3" t="str">
        <x:v>Femenina dulce/gourmand</x:v>
      </x:c>
      <x:c r="C3" t="n">
        <x:v>4</x:v>
      </x:c>
      <x:c r="D3" t="n">
        <x:f>COUNTIFS('Base ampliada 64'!$B$3:$B$66,A3,'Base ampliada 64'!$C$3:$C$66,B3)</x:f>
        <x:v>4</x:v>
      </x:c>
      <x:c r="E3" t="str">
        <x:f>IF(D3=C3,"Completo","Revisar")</x:f>
        <x:v>Completo</x:v>
      </x:c>
    </x:row>
    <x:row r="4">
      <x:c r="A4" t="str">
        <x:v>Perfumería</x:v>
      </x:c>
      <x:c r="B4" t="str">
        <x:v>Femenina floral</x:v>
      </x:c>
      <x:c r="C4" t="n">
        <x:v>4</x:v>
      </x:c>
      <x:c r="D4" t="n">
        <x:f>COUNTIFS('Base ampliada 64'!$B$3:$B$66,A4,'Base ampliada 64'!$C$3:$C$66,B4)</x:f>
        <x:v>4</x:v>
      </x:c>
      <x:c r="E4" t="str">
        <x:f>IF(D4=C4,"Completo","Revisar")</x:f>
        <x:v>Completo</x:v>
      </x:c>
    </x:row>
    <x:row r="5">
      <x:c r="A5" t="str">
        <x:v>Perfumería</x:v>
      </x:c>
      <x:c r="B5" t="str">
        <x:v>Masculina amaderada</x:v>
      </x:c>
      <x:c r="C5" t="n">
        <x:v>4</x:v>
      </x:c>
      <x:c r="D5" t="n">
        <x:f>COUNTIFS('Base ampliada 64'!$B$3:$B$66,A5,'Base ampliada 64'!$C$3:$C$66,B5)</x:f>
        <x:v>4</x:v>
      </x:c>
      <x:c r="E5" t="str">
        <x:f>IF(D5=C5,"Completo","Revisar")</x:f>
        <x:v>Completo</x:v>
      </x:c>
    </x:row>
    <x:row r="6">
      <x:c r="A6" t="str">
        <x:v>Perfumería</x:v>
      </x:c>
      <x:c r="B6" t="str">
        <x:v>Masculina fresca</x:v>
      </x:c>
      <x:c r="C6" t="n">
        <x:v>4</x:v>
      </x:c>
      <x:c r="D6" t="n">
        <x:f>COUNTIFS('Base ampliada 64'!$B$3:$B$66,A6,'Base ampliada 64'!$C$3:$C$66,B6)</x:f>
        <x:v>4</x:v>
      </x:c>
      <x:c r="E6" t="str">
        <x:f>IF(D6=C6,"Completo","Revisar")</x:f>
        <x:v>Completo</x:v>
      </x:c>
    </x:row>
    <x:row r="7">
      <x:c r="A7" t="str">
        <x:v>Cuidado corporal</x:v>
      </x:c>
      <x:c r="B7" t="str">
        <x:v>Loción corporal</x:v>
      </x:c>
      <x:c r="C7" t="n">
        <x:v>4</x:v>
      </x:c>
      <x:c r="D7" t="n">
        <x:f>COUNTIFS('Base ampliada 64'!$B$3:$B$66,A7,'Base ampliada 64'!$C$3:$C$66,B7)</x:f>
        <x:v>4</x:v>
      </x:c>
      <x:c r="E7" t="str">
        <x:f>IF(D7=C7,"Completo","Revisar")</x:f>
        <x:v>Completo</x:v>
      </x:c>
    </x:row>
    <x:row r="8">
      <x:c r="A8" t="str">
        <x:v>Cuidado corporal</x:v>
      </x:c>
      <x:c r="B8" t="str">
        <x:v>Body splash</x:v>
      </x:c>
      <x:c r="C8" t="n">
        <x:v>4</x:v>
      </x:c>
      <x:c r="D8" t="n">
        <x:f>COUNTIFS('Base ampliada 64'!$B$3:$B$66,A8,'Base ampliada 64'!$C$3:$C$66,B8)</x:f>
        <x:v>4</x:v>
      </x:c>
      <x:c r="E8" t="str">
        <x:f>IF(D8=C8,"Completo","Revisar")</x:f>
        <x:v>Completo</x:v>
      </x:c>
    </x:row>
    <x:row r="9">
      <x:c r="A9" t="str">
        <x:v>Cuidado corporal</x:v>
      </x:c>
      <x:c r="B9" t="str">
        <x:v>Óleo corporal</x:v>
      </x:c>
      <x:c r="C9" t="n">
        <x:v>4</x:v>
      </x:c>
      <x:c r="D9" t="n">
        <x:f>COUNTIFS('Base ampliada 64'!$B$3:$B$66,A9,'Base ampliada 64'!$C$3:$C$66,B9)</x:f>
        <x:v>4</x:v>
      </x:c>
      <x:c r="E9" t="str">
        <x:f>IF(D9=C9,"Completo","Revisar")</x:f>
        <x:v>Completo</x:v>
      </x:c>
    </x:row>
    <x:row r="10">
      <x:c r="A10" t="str">
        <x:v>Cuidado corporal</x:v>
      </x:c>
      <x:c r="B10" t="str">
        <x:v>Jabón líquido corporal</x:v>
      </x:c>
      <x:c r="C10" t="n">
        <x:v>4</x:v>
      </x:c>
      <x:c r="D10" t="n">
        <x:f>COUNTIFS('Base ampliada 64'!$B$3:$B$66,A10,'Base ampliada 64'!$C$3:$C$66,B10)</x:f>
        <x:v>4</x:v>
      </x:c>
      <x:c r="E10" t="str">
        <x:f>IF(D10=C10,"Completo","Revisar")</x:f>
        <x:v>Completo</x:v>
      </x:c>
    </x:row>
    <x:row r="11">
      <x:c r="A11" t="str">
        <x:v>Cuidado facial</x:v>
      </x:c>
      <x:c r="B11" t="str">
        <x:v>Limpieza facial</x:v>
      </x:c>
      <x:c r="C11" t="n">
        <x:v>4</x:v>
      </x:c>
      <x:c r="D11" t="n">
        <x:f>COUNTIFS('Base ampliada 64'!$B$3:$B$66,A11,'Base ampliada 64'!$C$3:$C$66,B11)</x:f>
        <x:v>4</x:v>
      </x:c>
      <x:c r="E11" t="str">
        <x:f>IF(D11=C11,"Completo","Revisar")</x:f>
        <x:v>Completo</x:v>
      </x:c>
    </x:row>
    <x:row r="12">
      <x:c r="A12" t="str">
        <x:v>Cuidado facial</x:v>
      </x:c>
      <x:c r="B12" t="str">
        <x:v>Sérum facial</x:v>
      </x:c>
      <x:c r="C12" t="n">
        <x:v>4</x:v>
      </x:c>
      <x:c r="D12" t="n">
        <x:f>COUNTIFS('Base ampliada 64'!$B$3:$B$66,A12,'Base ampliada 64'!$C$3:$C$66,B12)</x:f>
        <x:v>4</x:v>
      </x:c>
      <x:c r="E12" t="str">
        <x:f>IF(D12=C12,"Completo","Revisar")</x:f>
        <x:v>Completo</x:v>
      </x:c>
    </x:row>
    <x:row r="13">
      <x:c r="A13" t="str">
        <x:v>Cuidado facial</x:v>
      </x:c>
      <x:c r="B13" t="str">
        <x:v>Hidratante o tratamiento</x:v>
      </x:c>
      <x:c r="C13" t="n">
        <x:v>4</x:v>
      </x:c>
      <x:c r="D13" t="n">
        <x:f>COUNTIFS('Base ampliada 64'!$B$3:$B$66,A13,'Base ampliada 64'!$C$3:$C$66,B13)</x:f>
        <x:v>4</x:v>
      </x:c>
      <x:c r="E13" t="str">
        <x:f>IF(D13=C13,"Completo","Revisar")</x:f>
        <x:v>Completo</x:v>
      </x:c>
    </x:row>
    <x:row r="14">
      <x:c r="A14" t="str">
        <x:v>Cuidado facial</x:v>
      </x:c>
      <x:c r="B14" t="str">
        <x:v>Protector solar facial</x:v>
      </x:c>
      <x:c r="C14" t="n">
        <x:v>4</x:v>
      </x:c>
      <x:c r="D14" t="n">
        <x:f>COUNTIFS('Base ampliada 64'!$B$3:$B$66,A14,'Base ampliada 64'!$C$3:$C$66,B14)</x:f>
        <x:v>4</x:v>
      </x:c>
      <x:c r="E14" t="str">
        <x:f>IF(D14=C14,"Completo","Revisar")</x:f>
        <x:v>Completo</x:v>
      </x:c>
    </x:row>
    <x:row r="15">
      <x:c r="A15" t="str">
        <x:v>Cabello</x:v>
      </x:c>
      <x:c r="B15" t="str">
        <x:v>Shampoo</x:v>
      </x:c>
      <x:c r="C15" t="n">
        <x:v>4</x:v>
      </x:c>
      <x:c r="D15" t="n">
        <x:f>COUNTIFS('Base ampliada 64'!$B$3:$B$66,A15,'Base ampliada 64'!$C$3:$C$66,B15)</x:f>
        <x:v>4</x:v>
      </x:c>
      <x:c r="E15" t="str">
        <x:f>IF(D15=C15,"Completo","Revisar")</x:f>
        <x:v>Completo</x:v>
      </x:c>
    </x:row>
    <x:row r="16">
      <x:c r="A16" t="str">
        <x:v>Cabello</x:v>
      </x:c>
      <x:c r="B16" t="str">
        <x:v>Acondicionador</x:v>
      </x:c>
      <x:c r="C16" t="n">
        <x:v>4</x:v>
      </x:c>
      <x:c r="D16" t="n">
        <x:f>COUNTIFS('Base ampliada 64'!$B$3:$B$66,A16,'Base ampliada 64'!$C$3:$C$66,B16)</x:f>
        <x:v>4</x:v>
      </x:c>
      <x:c r="E16" t="str">
        <x:f>IF(D16=C16,"Completo","Revisar")</x:f>
        <x:v>Completo</x:v>
      </x:c>
    </x:row>
    <x:row r="17">
      <x:c r="A17" t="str">
        <x:v>Cabello</x:v>
      </x:c>
      <x:c r="B17" t="str">
        <x:v>Tratamiento capilar</x:v>
      </x:c>
      <x:c r="C17" t="n">
        <x:v>4</x:v>
      </x:c>
      <x:c r="D17" t="n">
        <x:f>COUNTIFS('Base ampliada 64'!$B$3:$B$66,A17,'Base ampliada 64'!$C$3:$C$66,B17)</x:f>
        <x:v>4</x:v>
      </x:c>
      <x:c r="E17" t="str">
        <x:f>IF(D17=C17,"Completo","Revisar")</x:f>
        <x:v>Completo</x:v>
      </x:c>
    </x:row>
    <x:row r="18">
      <x:c r="A18" t="str">
        <x:v>Cabello</x:v>
      </x:c>
      <x:c r="B18" t="str">
        <x:v>Finalizador o protector</x:v>
      </x:c>
      <x:c r="C18" t="n">
        <x:v>4</x:v>
      </x:c>
      <x:c r="D18" t="n">
        <x:f>COUNTIFS('Base ampliada 64'!$B$3:$B$66,A18,'Base ampliada 64'!$C$3:$C$66,B18)</x:f>
        <x:v>4</x:v>
      </x:c>
      <x:c r="E18" t="str">
        <x:f>IF(D18=C18,"Completo","Revisar")</x:f>
        <x:v>Completo</x:v>
      </x:c>
    </x:row>
  </x:sheetData>
  <x:mergeCells>
    <x:mergeCell ref="A1:E1"/>
  </x:mergeCells>
  <x:conditionalFormatting sqref="E3:E18">
    <x:cfRule type="containsText" dxfId="2" priority="1" operator="containsText" text="Completo"/>
    <x:cfRule type="containsText" dxfId="3" priority="2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3ddd7e36b16946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20" hidden="0" customWidth="1"/>
    <x:col min="4" max="4" width="20" hidden="0" customWidth="1"/>
  </x:cols>
  <x:sheetData>
    <x:row r="1" ht="30" customHeight="1">
      <x:c r="A1" s="13" t="str">
        <x:v>Configuración y reglas de mantenimiento</x:v>
      </x:c>
      <x:c r="B1" s="13"/>
      <x:c r="C1" s="13"/>
      <x:c r="D1" s="1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9"/>
      <x:c r="B2" s="9"/>
      <x:c r="C2" s="9"/>
      <x:c r="D2" s="9"/>
    </x:row>
    <x:row r="3">
      <x:c r="A3" s="6" t="str">
        <x:v>Parámetro</x:v>
      </x:c>
      <x:c r="B3" s="6" t="str">
        <x:v>Valor</x:v>
      </x:c>
      <x:c r="C3" s="9"/>
      <x:c r="D3" s="9"/>
    </x:row>
    <x:row r="4">
      <x:c r="A4" s="9" t="str">
        <x:v>Ciclo</x:v>
      </x:c>
      <x:c r="B4" s="9" t="str">
        <x:v>08 - agosto 2026</x:v>
      </x:c>
      <x:c r="C4" s="9"/>
      <x:c r="D4" s="9"/>
    </x:row>
    <x:row r="5">
      <x:c r="A5" s="9" t="str">
        <x:v>Vigencia</x:v>
      </x:c>
      <x:c r="B5" s="9" t="str">
        <x:v>2026-08-01 a 2026-08-31</x:v>
      </x:c>
      <x:c r="C5" s="9"/>
      <x:c r="D5" s="9"/>
    </x:row>
    <x:row r="6">
      <x:c r="A6" s="9" t="str">
        <x:v>Fecha de revisión</x:v>
      </x:c>
      <x:c r="B6" s="12" t="n">
        <x:v>46242.208333333336</x:v>
      </x:c>
      <x:c r="C6" s="9"/>
      <x:c r="D6" s="9"/>
    </x:row>
    <x:row r="7">
      <x:c r="A7" s="9" t="str">
        <x:v>Fuente</x:v>
      </x:c>
      <x:c r="B7" s="9" t="str">
        <x:v>https://www.catalogoboticario.com/2026-catalogo-colombia/cat-col-t8-agosoto-2026/?page=1</x:v>
      </x:c>
      <x:c r="C7" s="9"/>
      <x:c r="D7" s="9"/>
    </x:row>
    <x:row r="8">
      <x:c r="A8" s="9" t="str">
        <x:v>Regla de agotados</x:v>
      </x:c>
      <x:c r="B8" s="9" t="str">
        <x:v>Disponible=FALSE y Elegible=FALSE</x:v>
      </x:c>
      <x:c r="C8" s="9"/>
      <x:c r="D8" s="9"/>
    </x:row>
    <x:row r="9">
      <x:c r="A9" s="9" t="str">
        <x:v>Regla de precio</x:v>
      </x:c>
      <x:c r="B9" s="9" t="str">
        <x:v>Actualizar el precio; no modificar el código del producto</x:v>
      </x:c>
      <x:c r="C9" s="9"/>
      <x:c r="D9" s="9"/>
    </x:row>
    <x:row r="10">
      <x:c r="A10" s="9" t="str">
        <x:v>Kits</x:v>
      </x:c>
      <x:c r="B10" s="9" t="str">
        <x:v>Mantener separados y recalcular cuando cambien componentes</x:v>
      </x:c>
      <x:c r="C10" s="9"/>
      <x:c r="D10" s="9"/>
    </x:row>
    <x:row r="11">
      <x:c r="A11" s="9" t="str">
        <x:v>Frecuencia sugerida</x:v>
      </x:c>
      <x:c r="B11" s="9" t="str">
        <x:v>Revisión semanal</x:v>
      </x:c>
      <x:c r="C11" s="9"/>
      <x:c r="D11" s="9"/>
    </x:row>
    <x:row r="12">
      <x:c r="A12" s="9" t="str">
        <x:v>Pendiente</x:v>
      </x:c>
      <x:c r="B12" s="9" t="str">
        <x:v>Confirmar códigos marcados como 'Ver página' antes de publicar</x:v>
      </x:c>
      <x:c r="C12" s="9"/>
      <x:c r="D12" s="9"/>
    </x:row>
    <x:row r="13">
      <x:c r="A13" s="9"/>
      <x:c r="B13" s="9"/>
      <x:c r="C13" s="9"/>
      <x:c r="D13" s="9"/>
    </x:row>
    <x:row r="14">
      <x:c r="A14" s="6" t="str">
        <x:v>Campo</x:v>
      </x:c>
      <x:c r="B14" s="6" t="str">
        <x:v>Uso en app</x:v>
      </x:c>
      <x:c r="C14" s="6" t="str">
        <x:v>Editable</x:v>
      </x:c>
      <x:c r="D14" s="6" t="str">
        <x:v>Control</x:v>
      </x:c>
    </x:row>
    <x:row r="15">
      <x:c r="A15" s="9" t="str">
        <x:v>Disponible</x:v>
      </x:c>
      <x:c r="B15" s="9" t="str">
        <x:v>Oculta productos agotados</x:v>
      </x:c>
      <x:c r="C15" s="9" t="str">
        <x:v>Sí</x:v>
      </x:c>
      <x:c r="D15" s="9" t="str">
        <x:v>TRUE/FALSE</x:v>
      </x:c>
    </x:row>
    <x:row r="16">
      <x:c r="A16" s="9" t="str">
        <x:v>Elegible recomendador</x:v>
      </x:c>
      <x:c r="B16" s="9" t="str">
        <x:v>Permite excluir productos sin borrarlos</x:v>
      </x:c>
      <x:c r="C16" s="9" t="str">
        <x:v>Sí</x:v>
      </x:c>
      <x:c r="D16" s="9" t="str">
        <x:v>TRUE/FALSE</x:v>
      </x:c>
    </x:row>
    <x:row r="17">
      <x:c r="A17" s="9" t="str">
        <x:v>Precio catálogo COP</x:v>
      </x:c>
      <x:c r="B17" s="9" t="str">
        <x:v>Filtro de presupuesto y resultado</x:v>
      </x:c>
      <x:c r="C17" s="9" t="str">
        <x:v>Sí</x:v>
      </x:c>
      <x:c r="D17" s="9" t="str">
        <x:v>Número entero</x:v>
      </x:c>
    </x:row>
    <x:row r="18">
      <x:c r="A18" s="9" t="str">
        <x:v>Actualizado</x:v>
      </x:c>
      <x:c r="B18" s="9" t="str">
        <x:v>Transparencia comercial</x:v>
      </x:c>
      <x:c r="C18" s="9" t="str">
        <x:v>Sí</x:v>
      </x:c>
      <x:c r="D18" s="9" t="str">
        <x:v>Fecha</x:v>
      </x:c>
    </x:row>
    <x:row r="19">
      <x:c r="A19" s="9" t="str">
        <x:v>Rol</x:v>
      </x:c>
      <x:c r="B19" s="9" t="str">
        <x:v>Principal o alternativa</x:v>
      </x:c>
      <x:c r="C19" s="9" t="str">
        <x:v>Sí</x:v>
      </x:c>
      <x:c r="D19" s="9" t="str">
        <x:v>Lista controlada</x:v>
      </x:c>
    </x:row>
    <x:row r="20">
      <x:c r="A20" s="9"/>
      <x:c r="B20" s="9"/>
      <x:c r="C20" s="9"/>
      <x:c r="D20" s="9"/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4d31ed23548b49ea"/>
    <x:tablePart xmlns:r="http://schemas.openxmlformats.org/officeDocument/2006/relationships" r:id="R20fbe578804140b2"/>
  </x:tableParts>
</x:worksheet>
</file>